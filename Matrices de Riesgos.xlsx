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17"/>
  <workbookPr showInkAnnotation="0"/>
  <mc:AlternateContent xmlns:mc="http://schemas.openxmlformats.org/markup-compatibility/2006">
    <mc:Choice Requires="x15">
      <x15ac:absPath xmlns:x15ac="http://schemas.microsoft.com/office/spreadsheetml/2010/11/ac" url="C:\Users\wendy.nunez\OneDrive - Instituto Hondureño de Seguridad Social\Cumplimiento\Cumplimiento Wendy\Cumplimiento Wendy (v2)\Cumplimiento\Manual de Cumplimiento\Riesgos\Matrices de Riesgo LA Areas\2026\"/>
    </mc:Choice>
  </mc:AlternateContent>
  <xr:revisionPtr revIDLastSave="0" documentId="8_{336FF2AC-F820-432E-A76C-3903873BA8BD}" xr6:coauthVersionLast="47" xr6:coauthVersionMax="47" xr10:uidLastSave="{00000000-0000-0000-0000-000000000000}"/>
  <bookViews>
    <workbookView xWindow="0" yWindow="0" windowWidth="23040" windowHeight="10692" tabRatio="539" firstSheet="1" activeTab="1" xr2:uid="{00000000-000D-0000-FFFF-FFFF00000000}"/>
  </bookViews>
  <sheets>
    <sheet name="Instructivo" sheetId="19" r:id="rId1"/>
    <sheet name="Matriz Consolidada" sheetId="14" r:id="rId2"/>
    <sheet name="Checklist Proveedores" sheetId="20" r:id="rId3"/>
    <sheet name="Otras Tablas" sheetId="16" r:id="rId5"/>
    <sheet name="Listas" sheetId="9" r:id="rId6"/>
    <sheet name="Listas Automonitoreo" sheetId="21" state="hidden" r:id="rId17"/>
  </sheets>
  <externalReferences>
    <externalReference r:id="rId7"/>
    <externalReference r:id="rId8"/>
  </externalReferences>
  <calcPr calcId="0" calcMode="auto" fullCalcOnLoad="1"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4" i="14" l="1"/>
  <c r="AH5" i="14"/>
  <c r="AH6" i="14"/>
  <c r="AH7" i="14"/>
  <c r="AH8" i="14"/>
  <c r="AH9" i="14"/>
  <c r="AH10" i="14"/>
  <c r="AH11" i="14"/>
  <c r="AH12" i="14"/>
  <c r="AH13" i="14"/>
  <c r="AH14" i="14"/>
  <c r="AH15" i="14"/>
  <c r="AH16" i="14"/>
  <c r="AH17" i="14"/>
  <c r="AH18" i="14"/>
  <c r="AH19" i="14"/>
  <c r="AH20" i="14"/>
  <c r="AH21" i="14"/>
  <c r="AH22" i="14"/>
  <c r="AH23" i="14"/>
  <c r="AH24" i="14"/>
  <c r="AH25" i="14"/>
  <c r="AH26" i="14"/>
  <c r="AH27" i="14"/>
  <c r="AH28" i="14"/>
  <c r="AH29" i="14"/>
  <c r="AH30" i="14"/>
  <c r="AH31" i="14"/>
  <c r="AH32" i="14"/>
  <c r="AH33" i="14"/>
  <c r="AH34" i="14"/>
  <c r="AH35" i="14"/>
  <c r="AH36" i="14"/>
  <c r="AH37" i="14"/>
  <c r="AH38" i="14"/>
  <c r="AH39" i="14"/>
  <c r="AH40" i="14"/>
  <c r="AH41" i="14"/>
  <c r="AH42" i="14"/>
  <c r="AH43" i="14"/>
  <c r="AH44" i="14"/>
  <c r="AH45" i="14"/>
  <c r="AH46" i="14"/>
  <c r="AH47" i="14"/>
  <c r="AH48" i="14"/>
  <c r="AH49" i="14"/>
  <c r="AH50" i="14"/>
  <c r="AH51" i="14"/>
  <c r="AH52" i="14"/>
  <c r="AH53" i="14"/>
  <c r="AH54" i="14"/>
  <c r="AH55" i="14"/>
  <c r="AH56" i="14"/>
  <c r="AH57" i="14"/>
  <c r="AH58" i="14"/>
  <c r="AH59" i="14"/>
  <c r="AH60" i="14"/>
  <c r="AH3" i="14"/>
  <c r="L50" i="14" l="1"/>
  <c r="M50" i="14" l="1"/>
  <c r="L49" i="14"/>
  <c r="L48" i="14"/>
  <c r="L47" i="14"/>
  <c r="L46" i="14"/>
  <c r="L45" i="14"/>
  <c r="M45" i="14" l="1"/>
  <c r="AK45" i="14"/>
  <c r="AL45" i="14" s="1"/>
  <c r="M46" i="14"/>
  <c r="AK46" i="14"/>
  <c r="AJ46" i="14" s="1"/>
  <c r="M47" i="14"/>
  <c r="AK47" i="14"/>
  <c r="M48" i="14"/>
  <c r="AK48" i="14"/>
  <c r="AL48" i="14" s="1"/>
  <c r="M49" i="14"/>
  <c r="AK49" i="14"/>
  <c r="AL49" i="14" s="1"/>
  <c r="L44" i="14"/>
  <c r="L43" i="14"/>
  <c r="L42" i="14"/>
  <c r="L41" i="14"/>
  <c r="L40" i="14"/>
  <c r="L39" i="14"/>
  <c r="L38" i="14"/>
  <c r="B38" i="14"/>
  <c r="T38" i="14" s="1"/>
  <c r="V38" i="14"/>
  <c r="W38" i="14"/>
  <c r="Z38" i="14"/>
  <c r="AA38" i="14"/>
  <c r="AD38" i="14"/>
  <c r="AE38" i="14"/>
  <c r="BC38" i="14"/>
  <c r="BD38" i="14"/>
  <c r="L37" i="14"/>
  <c r="L36" i="14"/>
  <c r="L35" i="14"/>
  <c r="L34" i="14"/>
  <c r="L33" i="14"/>
  <c r="L32" i="14"/>
  <c r="L31" i="14"/>
  <c r="L30" i="14"/>
  <c r="L29" i="14"/>
  <c r="L28" i="14"/>
  <c r="L27" i="14"/>
  <c r="L26" i="14"/>
  <c r="AG4" i="14"/>
  <c r="L24" i="14"/>
  <c r="L25" i="14"/>
  <c r="AJ48" i="14" l="1"/>
  <c r="AI48" i="14"/>
  <c r="M29" i="14"/>
  <c r="AK29" i="14"/>
  <c r="AJ29" i="14" s="1"/>
  <c r="M38" i="14"/>
  <c r="M28" i="14"/>
  <c r="AK28" i="14"/>
  <c r="AL28" i="14" s="1"/>
  <c r="M31" i="14"/>
  <c r="AK31" i="14"/>
  <c r="AJ31" i="14"/>
  <c r="M32" i="14"/>
  <c r="AK32" i="14"/>
  <c r="AJ32" i="14" s="1"/>
  <c r="M39" i="14"/>
  <c r="AK39" i="14"/>
  <c r="AJ39" i="14" s="1"/>
  <c r="AI47" i="14"/>
  <c r="AL47" i="14"/>
  <c r="M33" i="14"/>
  <c r="AK33" i="14"/>
  <c r="M34" i="14"/>
  <c r="AK34" i="14"/>
  <c r="AL34" i="14" s="1"/>
  <c r="AI34" i="14"/>
  <c r="AJ47" i="14"/>
  <c r="M35" i="14"/>
  <c r="AK35" i="14"/>
  <c r="AL35" i="14" s="1"/>
  <c r="M40" i="14"/>
  <c r="AK40" i="14"/>
  <c r="AJ40" i="14"/>
  <c r="M36" i="14"/>
  <c r="AK36" i="14"/>
  <c r="AJ36" i="14"/>
  <c r="M41" i="14"/>
  <c r="AK41" i="14"/>
  <c r="AL41" i="14" s="1"/>
  <c r="AK25" i="14"/>
  <c r="BQ25" i="14" s="1"/>
  <c r="AJ25" i="14"/>
  <c r="M37" i="14"/>
  <c r="AK37" i="14"/>
  <c r="AJ37" i="14" s="1"/>
  <c r="M42" i="14"/>
  <c r="AK42" i="14"/>
  <c r="AL42" i="14" s="1"/>
  <c r="AI46" i="14"/>
  <c r="AL46" i="14"/>
  <c r="M27" i="14"/>
  <c r="AK27" i="14"/>
  <c r="AL27" i="14" s="1"/>
  <c r="AI27" i="14"/>
  <c r="M30" i="14"/>
  <c r="AK30" i="14"/>
  <c r="AJ30" i="14"/>
  <c r="M24" i="14"/>
  <c r="AK24" i="14"/>
  <c r="AJ24" i="14"/>
  <c r="M43" i="14"/>
  <c r="AK43" i="14"/>
  <c r="AJ43" i="14"/>
  <c r="M44" i="14"/>
  <c r="AK44" i="14"/>
  <c r="AI49" i="14"/>
  <c r="AI45" i="14"/>
  <c r="M26" i="14"/>
  <c r="AK26" i="14"/>
  <c r="AJ26" i="14"/>
  <c r="AJ49" i="14"/>
  <c r="AJ45" i="14"/>
  <c r="M25" i="14"/>
  <c r="X38" i="14"/>
  <c r="AB38" i="14"/>
  <c r="AG38" i="14" l="1"/>
  <c r="AK38" i="14" s="1"/>
  <c r="AJ38" i="14" s="1"/>
  <c r="BP38" i="14" s="1"/>
  <c r="AJ42" i="14"/>
  <c r="AJ28" i="14"/>
  <c r="AI28" i="14"/>
  <c r="AI42" i="14"/>
  <c r="AJ35" i="14"/>
  <c r="AI35" i="14"/>
  <c r="AI33" i="14"/>
  <c r="AL33" i="14"/>
  <c r="AI44" i="14"/>
  <c r="AL44" i="14"/>
  <c r="AI31" i="14"/>
  <c r="AL31" i="14"/>
  <c r="AI43" i="14"/>
  <c r="AL43" i="14"/>
  <c r="AI36" i="14"/>
  <c r="AL36" i="14"/>
  <c r="AJ33" i="14"/>
  <c r="AI39" i="14"/>
  <c r="AL39" i="14"/>
  <c r="AJ27" i="14"/>
  <c r="AI25" i="14"/>
  <c r="AL25" i="14"/>
  <c r="AI29" i="14"/>
  <c r="AL29" i="14"/>
  <c r="AI30" i="14"/>
  <c r="AL30" i="14"/>
  <c r="AI24" i="14"/>
  <c r="AL24" i="14"/>
  <c r="AI40" i="14"/>
  <c r="AL40" i="14"/>
  <c r="AI37" i="14"/>
  <c r="AL37" i="14"/>
  <c r="AI26" i="14"/>
  <c r="AL26" i="14"/>
  <c r="AJ41" i="14"/>
  <c r="AI32" i="14"/>
  <c r="AL32" i="14"/>
  <c r="AJ44" i="14"/>
  <c r="AI41" i="14"/>
  <c r="AJ34" i="14"/>
  <c r="AI38" i="14" l="1"/>
  <c r="BM38" i="14" s="1"/>
  <c r="BN38" i="14" s="1"/>
  <c r="AZ38" i="14"/>
  <c r="BQ38" i="14"/>
  <c r="AL38" i="14"/>
  <c r="AY38" i="14"/>
  <c r="AX38" i="14"/>
  <c r="BB38" i="14"/>
  <c r="BF38" i="14" s="1"/>
  <c r="BH38" i="14"/>
  <c r="BK38" i="14"/>
  <c r="BL38" i="14" s="1"/>
  <c r="BA38" i="14"/>
  <c r="BE38" i="14" s="1"/>
  <c r="BO38" i="14" l="1"/>
  <c r="BG38" i="14"/>
  <c r="BI38" i="14" l="1"/>
  <c r="BJ38" i="14" s="1"/>
  <c r="L23" i="14" l="1"/>
  <c r="L22" i="14"/>
  <c r="L21" i="14"/>
  <c r="L20" i="14"/>
  <c r="L19" i="14"/>
  <c r="L18" i="14"/>
  <c r="AX36" i="14"/>
  <c r="BA36" i="14" s="1"/>
  <c r="AY36" i="14"/>
  <c r="BB36" i="14" s="1"/>
  <c r="AZ36" i="14"/>
  <c r="BC36" i="14"/>
  <c r="BD36" i="14"/>
  <c r="BM36" i="14"/>
  <c r="BN36" i="14" s="1"/>
  <c r="BO36" i="14"/>
  <c r="BP36" i="14"/>
  <c r="BQ36" i="14"/>
  <c r="AX37" i="14"/>
  <c r="BA37" i="14" s="1"/>
  <c r="AY37" i="14"/>
  <c r="BB37" i="14" s="1"/>
  <c r="AZ37" i="14"/>
  <c r="BC37" i="14"/>
  <c r="BD37" i="14"/>
  <c r="BM37" i="14"/>
  <c r="BN37" i="14" s="1"/>
  <c r="BO37" i="14"/>
  <c r="BP37" i="14"/>
  <c r="BQ37" i="14"/>
  <c r="AX39" i="14"/>
  <c r="BA39" i="14" s="1"/>
  <c r="AY39" i="14"/>
  <c r="BB39" i="14" s="1"/>
  <c r="AZ39" i="14"/>
  <c r="BC39" i="14"/>
  <c r="BD39" i="14"/>
  <c r="BM39" i="14"/>
  <c r="BN39" i="14" s="1"/>
  <c r="BO39" i="14"/>
  <c r="BP39" i="14"/>
  <c r="BQ39" i="14"/>
  <c r="AX40" i="14"/>
  <c r="BA40" i="14" s="1"/>
  <c r="AY40" i="14"/>
  <c r="BB40" i="14" s="1"/>
  <c r="AZ40" i="14"/>
  <c r="BC40" i="14"/>
  <c r="BD40" i="14"/>
  <c r="BM40" i="14"/>
  <c r="BN40" i="14" s="1"/>
  <c r="BO40" i="14"/>
  <c r="BP40" i="14"/>
  <c r="BQ40" i="14"/>
  <c r="AX41" i="14"/>
  <c r="BA41" i="14" s="1"/>
  <c r="AY41" i="14"/>
  <c r="BB41" i="14" s="1"/>
  <c r="AZ41" i="14"/>
  <c r="BC41" i="14"/>
  <c r="BD41" i="14"/>
  <c r="BM41" i="14"/>
  <c r="BN41" i="14" s="1"/>
  <c r="BO41" i="14"/>
  <c r="BP41" i="14"/>
  <c r="BQ41" i="14"/>
  <c r="AX42" i="14"/>
  <c r="AY42" i="14"/>
  <c r="BB42" i="14" s="1"/>
  <c r="AZ42" i="14"/>
  <c r="BC42" i="14"/>
  <c r="BD42" i="14"/>
  <c r="BM42" i="14"/>
  <c r="BN42" i="14" s="1"/>
  <c r="BO42" i="14"/>
  <c r="BP42" i="14"/>
  <c r="BQ42" i="14"/>
  <c r="AX43" i="14"/>
  <c r="BA43" i="14" s="1"/>
  <c r="AY43" i="14"/>
  <c r="BB43" i="14" s="1"/>
  <c r="AZ43" i="14"/>
  <c r="BC43" i="14"/>
  <c r="BD43" i="14"/>
  <c r="BM43" i="14"/>
  <c r="BN43" i="14" s="1"/>
  <c r="BO43" i="14"/>
  <c r="BP43" i="14"/>
  <c r="BQ43" i="14"/>
  <c r="AX44" i="14"/>
  <c r="BA44" i="14" s="1"/>
  <c r="AY44" i="14"/>
  <c r="BB44" i="14" s="1"/>
  <c r="AZ44" i="14"/>
  <c r="BC44" i="14"/>
  <c r="BD44" i="14"/>
  <c r="BM44" i="14"/>
  <c r="BN44" i="14" s="1"/>
  <c r="BO44" i="14"/>
  <c r="BP44" i="14"/>
  <c r="BQ44" i="14"/>
  <c r="AX45" i="14"/>
  <c r="AY45" i="14"/>
  <c r="BB45" i="14" s="1"/>
  <c r="AZ45" i="14"/>
  <c r="BC45" i="14"/>
  <c r="BD45" i="14"/>
  <c r="BM45" i="14"/>
  <c r="BN45" i="14" s="1"/>
  <c r="BO45" i="14"/>
  <c r="BP45" i="14"/>
  <c r="BQ45" i="14"/>
  <c r="AX46" i="14"/>
  <c r="BA46" i="14" s="1"/>
  <c r="AY46" i="14"/>
  <c r="BB46" i="14" s="1"/>
  <c r="AZ46" i="14"/>
  <c r="BC46" i="14"/>
  <c r="BD46" i="14"/>
  <c r="BM46" i="14"/>
  <c r="BN46" i="14" s="1"/>
  <c r="BO46" i="14"/>
  <c r="BP46" i="14"/>
  <c r="BQ46" i="14"/>
  <c r="AX47" i="14"/>
  <c r="BA47" i="14" s="1"/>
  <c r="AY47" i="14"/>
  <c r="BB47" i="14" s="1"/>
  <c r="AZ47" i="14"/>
  <c r="BC47" i="14"/>
  <c r="BD47" i="14"/>
  <c r="BM47" i="14"/>
  <c r="BN47" i="14" s="1"/>
  <c r="BO47" i="14"/>
  <c r="BP47" i="14"/>
  <c r="BQ47" i="14"/>
  <c r="AX48" i="14"/>
  <c r="BA48" i="14" s="1"/>
  <c r="AY48" i="14"/>
  <c r="BB48" i="14" s="1"/>
  <c r="AZ48" i="14"/>
  <c r="BC48" i="14"/>
  <c r="BD48" i="14"/>
  <c r="BM48" i="14"/>
  <c r="BN48" i="14" s="1"/>
  <c r="BO48" i="14"/>
  <c r="BP48" i="14"/>
  <c r="BQ48" i="14"/>
  <c r="AX49" i="14"/>
  <c r="BA49" i="14" s="1"/>
  <c r="AY49" i="14"/>
  <c r="BB49" i="14" s="1"/>
  <c r="AZ49" i="14"/>
  <c r="BC49" i="14"/>
  <c r="BD49" i="14"/>
  <c r="BM49" i="14"/>
  <c r="BN49" i="14" s="1"/>
  <c r="BO49" i="14"/>
  <c r="BP49" i="14"/>
  <c r="BQ49" i="14"/>
  <c r="BC50" i="14"/>
  <c r="BD50" i="14"/>
  <c r="BC51" i="14"/>
  <c r="BD51" i="14"/>
  <c r="BC52" i="14"/>
  <c r="BD52" i="14"/>
  <c r="BC53" i="14"/>
  <c r="BD53" i="14"/>
  <c r="BC54" i="14"/>
  <c r="BD54" i="14"/>
  <c r="BC55" i="14"/>
  <c r="BD55" i="14"/>
  <c r="BC56" i="14"/>
  <c r="BD56" i="14"/>
  <c r="BC57" i="14"/>
  <c r="BD57" i="14"/>
  <c r="BC58" i="14"/>
  <c r="BD58" i="14"/>
  <c r="BC59" i="14"/>
  <c r="BD59" i="14"/>
  <c r="BC60" i="14"/>
  <c r="BD60" i="14"/>
  <c r="BC4" i="14"/>
  <c r="BD4" i="14"/>
  <c r="AX5" i="14"/>
  <c r="AY5" i="14"/>
  <c r="BB5" i="14" s="1"/>
  <c r="BC5" i="14"/>
  <c r="BD5" i="14"/>
  <c r="AX6" i="14"/>
  <c r="BA6" i="14" s="1"/>
  <c r="AY6" i="14"/>
  <c r="BB6" i="14" s="1"/>
  <c r="BC6" i="14"/>
  <c r="BD6" i="14"/>
  <c r="AX7" i="14"/>
  <c r="BA7" i="14" s="1"/>
  <c r="AY7" i="14"/>
  <c r="BB7" i="14" s="1"/>
  <c r="BC7" i="14"/>
  <c r="BD7" i="14"/>
  <c r="AX8" i="14"/>
  <c r="AY8" i="14"/>
  <c r="BB8" i="14" s="1"/>
  <c r="BC8" i="14"/>
  <c r="BD8" i="14"/>
  <c r="AX9" i="14"/>
  <c r="BA9" i="14" s="1"/>
  <c r="AY9" i="14"/>
  <c r="BB9" i="14" s="1"/>
  <c r="BC9" i="14"/>
  <c r="BD9" i="14"/>
  <c r="AX10" i="14"/>
  <c r="BA10" i="14" s="1"/>
  <c r="AY10" i="14"/>
  <c r="BB10" i="14" s="1"/>
  <c r="BC10" i="14"/>
  <c r="BD10" i="14"/>
  <c r="AX11" i="14"/>
  <c r="BA11" i="14" s="1"/>
  <c r="AY11" i="14"/>
  <c r="BB11" i="14" s="1"/>
  <c r="BC11" i="14"/>
  <c r="BD11" i="14"/>
  <c r="AX12" i="14"/>
  <c r="AY12" i="14"/>
  <c r="BB12" i="14" s="1"/>
  <c r="BC12" i="14"/>
  <c r="BD12" i="14"/>
  <c r="AX13" i="14"/>
  <c r="BA13" i="14" s="1"/>
  <c r="AY13" i="14"/>
  <c r="BB13" i="14" s="1"/>
  <c r="BC13" i="14"/>
  <c r="BD13" i="14"/>
  <c r="AX14" i="14"/>
  <c r="BA14" i="14" s="1"/>
  <c r="AY14" i="14"/>
  <c r="BB14" i="14" s="1"/>
  <c r="BC14" i="14"/>
  <c r="BD14" i="14"/>
  <c r="AX15" i="14"/>
  <c r="BA15" i="14" s="1"/>
  <c r="AY15" i="14"/>
  <c r="BB15" i="14" s="1"/>
  <c r="BC15" i="14"/>
  <c r="BD15" i="14"/>
  <c r="AX16" i="14"/>
  <c r="BA16" i="14" s="1"/>
  <c r="AY16" i="14"/>
  <c r="BB16" i="14" s="1"/>
  <c r="BC16" i="14"/>
  <c r="BD16" i="14"/>
  <c r="AX17" i="14"/>
  <c r="AY17" i="14"/>
  <c r="BB17" i="14" s="1"/>
  <c r="BC17" i="14"/>
  <c r="BD17" i="14"/>
  <c r="AX18" i="14"/>
  <c r="BA18" i="14" s="1"/>
  <c r="AY18" i="14"/>
  <c r="BB18" i="14" s="1"/>
  <c r="BC18" i="14"/>
  <c r="BD18" i="14"/>
  <c r="AX19" i="14"/>
  <c r="BA19" i="14" s="1"/>
  <c r="AY19" i="14"/>
  <c r="BC19" i="14"/>
  <c r="BD19" i="14"/>
  <c r="AX20" i="14"/>
  <c r="AY20" i="14"/>
  <c r="BB20" i="14" s="1"/>
  <c r="BC20" i="14"/>
  <c r="BD20" i="14"/>
  <c r="AX21" i="14"/>
  <c r="BA21" i="14" s="1"/>
  <c r="AY21" i="14"/>
  <c r="BB21" i="14" s="1"/>
  <c r="BC21" i="14"/>
  <c r="BD21" i="14"/>
  <c r="AX22" i="14"/>
  <c r="BA22" i="14" s="1"/>
  <c r="AY22" i="14"/>
  <c r="BB22" i="14" s="1"/>
  <c r="BC22" i="14"/>
  <c r="BD22" i="14"/>
  <c r="AX23" i="14"/>
  <c r="AY23" i="14"/>
  <c r="BB23" i="14" s="1"/>
  <c r="BC23" i="14"/>
  <c r="BD23" i="14"/>
  <c r="AX24" i="14"/>
  <c r="AY24" i="14"/>
  <c r="BB24" i="14" s="1"/>
  <c r="AZ24" i="14"/>
  <c r="BC24" i="14"/>
  <c r="BD24" i="14"/>
  <c r="BM24" i="14"/>
  <c r="BN24" i="14" s="1"/>
  <c r="BO24" i="14"/>
  <c r="BP24" i="14"/>
  <c r="BQ24" i="14"/>
  <c r="AX25" i="14"/>
  <c r="BA25" i="14" s="1"/>
  <c r="AY25" i="14"/>
  <c r="AZ25" i="14"/>
  <c r="BC25" i="14"/>
  <c r="BD25" i="14"/>
  <c r="BM25" i="14"/>
  <c r="BN25" i="14" s="1"/>
  <c r="BO25" i="14"/>
  <c r="BP25" i="14"/>
  <c r="AX26" i="14"/>
  <c r="AY26" i="14"/>
  <c r="AZ26" i="14"/>
  <c r="BC26" i="14"/>
  <c r="BD26" i="14"/>
  <c r="BM26" i="14"/>
  <c r="BN26" i="14" s="1"/>
  <c r="BO26" i="14"/>
  <c r="BP26" i="14"/>
  <c r="BQ26" i="14"/>
  <c r="AX27" i="14"/>
  <c r="BA27" i="14" s="1"/>
  <c r="AY27" i="14"/>
  <c r="BB27" i="14" s="1"/>
  <c r="AZ27" i="14"/>
  <c r="BC27" i="14"/>
  <c r="BD27" i="14"/>
  <c r="BM27" i="14"/>
  <c r="BN27" i="14" s="1"/>
  <c r="BO27" i="14"/>
  <c r="BP27" i="14"/>
  <c r="BQ27" i="14"/>
  <c r="AX28" i="14"/>
  <c r="BA28" i="14" s="1"/>
  <c r="AY28" i="14"/>
  <c r="AZ28" i="14"/>
  <c r="BC28" i="14"/>
  <c r="BD28" i="14"/>
  <c r="BM28" i="14"/>
  <c r="BN28" i="14" s="1"/>
  <c r="BO28" i="14"/>
  <c r="BP28" i="14"/>
  <c r="BQ28" i="14"/>
  <c r="AX29" i="14"/>
  <c r="AY29" i="14"/>
  <c r="BB29" i="14" s="1"/>
  <c r="AZ29" i="14"/>
  <c r="BC29" i="14"/>
  <c r="BD29" i="14"/>
  <c r="BM29" i="14"/>
  <c r="BN29" i="14" s="1"/>
  <c r="BO29" i="14"/>
  <c r="BP29" i="14"/>
  <c r="BQ29" i="14"/>
  <c r="AX30" i="14"/>
  <c r="BA30" i="14" s="1"/>
  <c r="AY30" i="14"/>
  <c r="BB30" i="14" s="1"/>
  <c r="AZ30" i="14"/>
  <c r="BC30" i="14"/>
  <c r="BD30" i="14"/>
  <c r="BM30" i="14"/>
  <c r="BN30" i="14" s="1"/>
  <c r="BO30" i="14"/>
  <c r="BP30" i="14"/>
  <c r="BQ30" i="14"/>
  <c r="AX31" i="14"/>
  <c r="BA31" i="14" s="1"/>
  <c r="AY31" i="14"/>
  <c r="AZ31" i="14"/>
  <c r="BC31" i="14"/>
  <c r="BD31" i="14"/>
  <c r="BM31" i="14"/>
  <c r="BN31" i="14" s="1"/>
  <c r="BO31" i="14"/>
  <c r="BP31" i="14"/>
  <c r="BQ31" i="14"/>
  <c r="AX32" i="14"/>
  <c r="AY32" i="14"/>
  <c r="BB32" i="14" s="1"/>
  <c r="AZ32" i="14"/>
  <c r="BC32" i="14"/>
  <c r="BD32" i="14"/>
  <c r="BM32" i="14"/>
  <c r="BN32" i="14" s="1"/>
  <c r="BO32" i="14"/>
  <c r="BP32" i="14"/>
  <c r="BQ32" i="14"/>
  <c r="AX33" i="14"/>
  <c r="BA33" i="14" s="1"/>
  <c r="AY33" i="14"/>
  <c r="BB33" i="14" s="1"/>
  <c r="AZ33" i="14"/>
  <c r="BC33" i="14"/>
  <c r="BD33" i="14"/>
  <c r="BM33" i="14"/>
  <c r="BN33" i="14" s="1"/>
  <c r="BO33" i="14"/>
  <c r="BP33" i="14"/>
  <c r="BQ33" i="14"/>
  <c r="AX34" i="14"/>
  <c r="BA34" i="14" s="1"/>
  <c r="AY34" i="14"/>
  <c r="BB34" i="14" s="1"/>
  <c r="AZ34" i="14"/>
  <c r="BC34" i="14"/>
  <c r="BD34" i="14"/>
  <c r="BM34" i="14"/>
  <c r="BN34" i="14" s="1"/>
  <c r="BO34" i="14"/>
  <c r="BP34" i="14"/>
  <c r="BQ34" i="14"/>
  <c r="AX35" i="14"/>
  <c r="AY35" i="14"/>
  <c r="BB35" i="14" s="1"/>
  <c r="AZ35" i="14"/>
  <c r="BC35" i="14"/>
  <c r="BD35" i="14"/>
  <c r="BM35" i="14"/>
  <c r="BN35" i="14" s="1"/>
  <c r="BO35" i="14"/>
  <c r="BP35" i="14"/>
  <c r="BQ35" i="14"/>
  <c r="L12" i="14"/>
  <c r="L13" i="14"/>
  <c r="L14" i="14"/>
  <c r="L15" i="14"/>
  <c r="L16" i="14"/>
  <c r="L17" i="14"/>
  <c r="L6" i="14"/>
  <c r="L7" i="14"/>
  <c r="L8" i="14"/>
  <c r="L9" i="14"/>
  <c r="L10" i="14"/>
  <c r="L11" i="14"/>
  <c r="L3" i="14"/>
  <c r="L4" i="14"/>
  <c r="L5" i="14"/>
  <c r="B5" i="14"/>
  <c r="B4" i="14"/>
  <c r="BD2" i="14"/>
  <c r="BC2" i="14"/>
  <c r="AH2" i="14"/>
  <c r="AE2" i="14"/>
  <c r="AD2" i="14"/>
  <c r="AA2" i="14"/>
  <c r="Z2" i="14"/>
  <c r="W2" i="14"/>
  <c r="V2" i="14"/>
  <c r="L2" i="14"/>
  <c r="M2" i="14" s="1"/>
  <c r="B2" i="14"/>
  <c r="AY4" i="14"/>
  <c r="BB4" i="14" s="1"/>
  <c r="BF4" i="14" s="1"/>
  <c r="AE4" i="14"/>
  <c r="AD4" i="14"/>
  <c r="AA4" i="14"/>
  <c r="Z4" i="14"/>
  <c r="W4" i="14"/>
  <c r="V4" i="14"/>
  <c r="AK11" i="14" l="1"/>
  <c r="BQ11" i="14" s="1"/>
  <c r="AK10" i="14"/>
  <c r="AJ10" i="14"/>
  <c r="BP10" i="14" s="1"/>
  <c r="AK9" i="14"/>
  <c r="BQ9" i="14" s="1"/>
  <c r="AJ9" i="14"/>
  <c r="BP9" i="14" s="1"/>
  <c r="BH26" i="14"/>
  <c r="M6" i="14"/>
  <c r="AK6" i="14"/>
  <c r="BQ6" i="14" s="1"/>
  <c r="AJ6" i="14"/>
  <c r="BP6" i="14" s="1"/>
  <c r="AK8" i="14"/>
  <c r="AJ8" i="14" s="1"/>
  <c r="BP8" i="14" s="1"/>
  <c r="M18" i="14"/>
  <c r="AK18" i="14"/>
  <c r="AJ18" i="14" s="1"/>
  <c r="BP18" i="14" s="1"/>
  <c r="M19" i="14"/>
  <c r="AK19" i="14"/>
  <c r="AJ19" i="14" s="1"/>
  <c r="BP19" i="14" s="1"/>
  <c r="AK20" i="14"/>
  <c r="AJ20" i="14"/>
  <c r="BP20" i="14" s="1"/>
  <c r="M21" i="14"/>
  <c r="AK21" i="14"/>
  <c r="BQ21" i="14" s="1"/>
  <c r="AK15" i="14"/>
  <c r="AJ15" i="14" s="1"/>
  <c r="BP15" i="14" s="1"/>
  <c r="AK14" i="14"/>
  <c r="M13" i="14"/>
  <c r="AK13" i="14"/>
  <c r="AJ13" i="14"/>
  <c r="BP13" i="14" s="1"/>
  <c r="M5" i="14"/>
  <c r="AK5" i="14"/>
  <c r="AJ5" i="14"/>
  <c r="BP5" i="14" s="1"/>
  <c r="M12" i="14"/>
  <c r="AK12" i="14"/>
  <c r="BQ12" i="14" s="1"/>
  <c r="AJ12" i="14"/>
  <c r="BP12" i="14" s="1"/>
  <c r="M4" i="14"/>
  <c r="AK4" i="14"/>
  <c r="BQ4" i="14" s="1"/>
  <c r="AJ4" i="14"/>
  <c r="BP4" i="14" s="1"/>
  <c r="M22" i="14"/>
  <c r="AK22" i="14"/>
  <c r="AJ22" i="14"/>
  <c r="BP22" i="14" s="1"/>
  <c r="M7" i="14"/>
  <c r="AK7" i="14"/>
  <c r="AI7" i="14" s="1"/>
  <c r="AK17" i="14"/>
  <c r="M16" i="14"/>
  <c r="AK16" i="14"/>
  <c r="AJ16" i="14" s="1"/>
  <c r="BP16" i="14" s="1"/>
  <c r="M3" i="14"/>
  <c r="M23" i="14"/>
  <c r="AK23" i="14"/>
  <c r="BQ23" i="14" s="1"/>
  <c r="AJ23" i="14"/>
  <c r="BP23" i="14" s="1"/>
  <c r="BQ17" i="14"/>
  <c r="M17" i="14"/>
  <c r="BF16" i="14"/>
  <c r="M10" i="14"/>
  <c r="BK45" i="14"/>
  <c r="BL45" i="14" s="1"/>
  <c r="BH31" i="14"/>
  <c r="BH5" i="14"/>
  <c r="BH20" i="14"/>
  <c r="BK46" i="14"/>
  <c r="BL46" i="14" s="1"/>
  <c r="BK12" i="14"/>
  <c r="BL12" i="14" s="1"/>
  <c r="BH8" i="14"/>
  <c r="BK6" i="14"/>
  <c r="BL6" i="14" s="1"/>
  <c r="BE48" i="14"/>
  <c r="BK41" i="14"/>
  <c r="BL41" i="14" s="1"/>
  <c r="M9" i="14"/>
  <c r="BH19" i="14"/>
  <c r="BE13" i="14"/>
  <c r="BE9" i="14"/>
  <c r="BE6" i="14"/>
  <c r="BA20" i="14"/>
  <c r="M11" i="14"/>
  <c r="M8" i="14"/>
  <c r="BH14" i="14"/>
  <c r="BH11" i="14"/>
  <c r="M20" i="14"/>
  <c r="BH35" i="14"/>
  <c r="BH32" i="14"/>
  <c r="BK29" i="14"/>
  <c r="BL29" i="14" s="1"/>
  <c r="BK35" i="14"/>
  <c r="BL35" i="14" s="1"/>
  <c r="BK32" i="14"/>
  <c r="BL32" i="14" s="1"/>
  <c r="BH29" i="14"/>
  <c r="BK21" i="14"/>
  <c r="AX4" i="14"/>
  <c r="BA4" i="14" s="1"/>
  <c r="BE4" i="14" s="1"/>
  <c r="BE41" i="14"/>
  <c r="BE39" i="14"/>
  <c r="BH28" i="14"/>
  <c r="BK27" i="14"/>
  <c r="BL27" i="14" s="1"/>
  <c r="BK23" i="14"/>
  <c r="BK22" i="14"/>
  <c r="BL22" i="14" s="1"/>
  <c r="BE21" i="14"/>
  <c r="BK42" i="14"/>
  <c r="BL42" i="14" s="1"/>
  <c r="BK39" i="14"/>
  <c r="BL39" i="14" s="1"/>
  <c r="BF23" i="14"/>
  <c r="BK33" i="14"/>
  <c r="BL33" i="14" s="1"/>
  <c r="BE30" i="14"/>
  <c r="BK24" i="14"/>
  <c r="BL24" i="14" s="1"/>
  <c r="BA12" i="14"/>
  <c r="BE12" i="14" s="1"/>
  <c r="BE10" i="14"/>
  <c r="BE47" i="14"/>
  <c r="BA45" i="14"/>
  <c r="BE45" i="14" s="1"/>
  <c r="BG44" i="14"/>
  <c r="BK43" i="14"/>
  <c r="BL43" i="14" s="1"/>
  <c r="BE27" i="14"/>
  <c r="BH17" i="14"/>
  <c r="BE15" i="14"/>
  <c r="BK47" i="14"/>
  <c r="BL47" i="14" s="1"/>
  <c r="BE46" i="14"/>
  <c r="BA42" i="14"/>
  <c r="BE42" i="14" s="1"/>
  <c r="BE33" i="14"/>
  <c r="BG37" i="14"/>
  <c r="M15" i="14"/>
  <c r="M14" i="14"/>
  <c r="BK26" i="14"/>
  <c r="BL26" i="14" s="1"/>
  <c r="BK25" i="14"/>
  <c r="BL25" i="14" s="1"/>
  <c r="BF17" i="14"/>
  <c r="BK17" i="14"/>
  <c r="BK16" i="14"/>
  <c r="BL16" i="14" s="1"/>
  <c r="BK49" i="14"/>
  <c r="BL49" i="14" s="1"/>
  <c r="BE44" i="14"/>
  <c r="BG41" i="14"/>
  <c r="BK40" i="14"/>
  <c r="BL40" i="14" s="1"/>
  <c r="BK37" i="14"/>
  <c r="BL37" i="14" s="1"/>
  <c r="BK36" i="14"/>
  <c r="BL36" i="14" s="1"/>
  <c r="BF8" i="14"/>
  <c r="BK8" i="14"/>
  <c r="BK7" i="14"/>
  <c r="BL7" i="14" s="1"/>
  <c r="BF5" i="14"/>
  <c r="BK5" i="14"/>
  <c r="BK30" i="14"/>
  <c r="BL30" i="14" s="1"/>
  <c r="BK34" i="14"/>
  <c r="BL34" i="14" s="1"/>
  <c r="BK31" i="14"/>
  <c r="BL31" i="14" s="1"/>
  <c r="BF29" i="14"/>
  <c r="BK28" i="14"/>
  <c r="BL28" i="14" s="1"/>
  <c r="BE49" i="14"/>
  <c r="BE40" i="14"/>
  <c r="BE37" i="14"/>
  <c r="BE36" i="14"/>
  <c r="AG2" i="14"/>
  <c r="AK2" i="14" s="1"/>
  <c r="BF35" i="14"/>
  <c r="BF32" i="14"/>
  <c r="BB26" i="14"/>
  <c r="BF26" i="14" s="1"/>
  <c r="BE34" i="14"/>
  <c r="BE31" i="14"/>
  <c r="BE28" i="14"/>
  <c r="BA26" i="14"/>
  <c r="BE26" i="14" s="1"/>
  <c r="BE18" i="14"/>
  <c r="BA17" i="14"/>
  <c r="BE17" i="14" s="1"/>
  <c r="BF14" i="14"/>
  <c r="BK14" i="14"/>
  <c r="BK13" i="14"/>
  <c r="BF11" i="14"/>
  <c r="BK11" i="14"/>
  <c r="BK10" i="14"/>
  <c r="BL10" i="14" s="1"/>
  <c r="BK44" i="14"/>
  <c r="BL44" i="14" s="1"/>
  <c r="BK48" i="14"/>
  <c r="BL48" i="14" s="1"/>
  <c r="BA24" i="14"/>
  <c r="BE24" i="14" s="1"/>
  <c r="BA23" i="14"/>
  <c r="BE16" i="14"/>
  <c r="BQ7" i="14"/>
  <c r="BA35" i="14"/>
  <c r="BG35" i="14" s="1"/>
  <c r="BG34" i="14"/>
  <c r="BA32" i="14"/>
  <c r="BE32" i="14" s="1"/>
  <c r="BA29" i="14"/>
  <c r="BE29" i="14" s="1"/>
  <c r="BH25" i="14"/>
  <c r="BH23" i="14"/>
  <c r="BF20" i="14"/>
  <c r="BK20" i="14"/>
  <c r="BK19" i="14"/>
  <c r="BE14" i="14"/>
  <c r="BF13" i="14"/>
  <c r="BE11" i="14"/>
  <c r="BF10" i="14"/>
  <c r="BA8" i="14"/>
  <c r="BA5" i="14"/>
  <c r="BG47" i="14"/>
  <c r="BF44" i="14"/>
  <c r="BE43" i="14"/>
  <c r="BK18" i="14"/>
  <c r="BK15" i="14"/>
  <c r="BF49" i="14"/>
  <c r="BG49" i="14"/>
  <c r="BF48" i="14"/>
  <c r="BG48" i="14"/>
  <c r="BF40" i="14"/>
  <c r="BG40" i="14"/>
  <c r="BF36" i="14"/>
  <c r="BG36" i="14"/>
  <c r="BF43" i="14"/>
  <c r="BG43" i="14"/>
  <c r="BF42" i="14"/>
  <c r="BF37" i="14"/>
  <c r="BF41" i="14"/>
  <c r="BF46" i="14"/>
  <c r="BG46" i="14"/>
  <c r="BF45" i="14"/>
  <c r="BF47" i="14"/>
  <c r="BF39" i="14"/>
  <c r="BG39" i="14"/>
  <c r="BH49" i="14"/>
  <c r="BH46" i="14"/>
  <c r="BH43" i="14"/>
  <c r="BH40" i="14"/>
  <c r="BH36" i="14"/>
  <c r="BH48" i="14"/>
  <c r="BH45" i="14"/>
  <c r="BH42" i="14"/>
  <c r="BH39" i="14"/>
  <c r="BH47" i="14"/>
  <c r="BH44" i="14"/>
  <c r="BH41" i="14"/>
  <c r="BH37" i="14"/>
  <c r="BF27" i="14"/>
  <c r="BG27" i="14"/>
  <c r="BF9" i="14"/>
  <c r="BF22" i="14"/>
  <c r="BE19" i="14"/>
  <c r="BF12" i="14"/>
  <c r="BE22" i="14"/>
  <c r="BF15" i="14"/>
  <c r="BF7" i="14"/>
  <c r="BF34" i="14"/>
  <c r="BE25" i="14"/>
  <c r="BF18" i="14"/>
  <c r="BE7" i="14"/>
  <c r="BF21" i="14"/>
  <c r="BF24" i="14"/>
  <c r="BF6" i="14"/>
  <c r="BF33" i="14"/>
  <c r="BG33" i="14"/>
  <c r="BF30" i="14"/>
  <c r="BG30" i="14"/>
  <c r="BH34" i="14"/>
  <c r="BB31" i="14"/>
  <c r="BF31" i="14" s="1"/>
  <c r="BB28" i="14"/>
  <c r="BF28" i="14" s="1"/>
  <c r="BB25" i="14"/>
  <c r="BG25" i="14" s="1"/>
  <c r="BH22" i="14"/>
  <c r="BB19" i="14"/>
  <c r="BF19" i="14" s="1"/>
  <c r="BH16" i="14"/>
  <c r="BH13" i="14"/>
  <c r="BH10" i="14"/>
  <c r="BH7" i="14"/>
  <c r="BK9" i="14"/>
  <c r="BL9" i="14" s="1"/>
  <c r="BH33" i="14"/>
  <c r="BH30" i="14"/>
  <c r="BH27" i="14"/>
  <c r="BH24" i="14"/>
  <c r="BH21" i="14"/>
  <c r="BH18" i="14"/>
  <c r="BH15" i="14"/>
  <c r="BH12" i="14"/>
  <c r="BH9" i="14"/>
  <c r="BH6" i="14"/>
  <c r="B3" i="14"/>
  <c r="AI14" i="14" l="1"/>
  <c r="AJ14" i="14"/>
  <c r="BP14" i="14" s="1"/>
  <c r="BL8" i="14"/>
  <c r="BQ8" i="14"/>
  <c r="AI21" i="14"/>
  <c r="BL11" i="14"/>
  <c r="AJ21" i="14"/>
  <c r="BP21" i="14" s="1"/>
  <c r="BL18" i="14"/>
  <c r="AZ4" i="14"/>
  <c r="BQ18" i="14"/>
  <c r="BQ16" i="14"/>
  <c r="BL21" i="14"/>
  <c r="AJ11" i="14"/>
  <c r="BP11" i="14" s="1"/>
  <c r="AI17" i="14"/>
  <c r="AL17" i="14"/>
  <c r="AZ17" i="14"/>
  <c r="BL13" i="14"/>
  <c r="BL17" i="14"/>
  <c r="BQ19" i="14"/>
  <c r="AL7" i="14"/>
  <c r="AZ7" i="14"/>
  <c r="BG7" i="14" s="1"/>
  <c r="AI5" i="14"/>
  <c r="AL5" i="14"/>
  <c r="AZ5" i="14"/>
  <c r="BG5" i="14" s="1"/>
  <c r="BL14" i="14"/>
  <c r="BL23" i="14"/>
  <c r="AJ7" i="14"/>
  <c r="BP7" i="14" s="1"/>
  <c r="AI6" i="14"/>
  <c r="AL6" i="14"/>
  <c r="AZ6" i="14"/>
  <c r="BG6" i="14" s="1"/>
  <c r="BI6" i="14" s="1"/>
  <c r="BJ6" i="14" s="1"/>
  <c r="AI13" i="14"/>
  <c r="AL13" i="14"/>
  <c r="AZ13" i="14"/>
  <c r="BG13" i="14" s="1"/>
  <c r="AI22" i="14"/>
  <c r="AL22" i="14"/>
  <c r="AZ22" i="14"/>
  <c r="BG22" i="14" s="1"/>
  <c r="BI22" i="14" s="1"/>
  <c r="BJ22" i="14" s="1"/>
  <c r="BQ22" i="14"/>
  <c r="AL14" i="14"/>
  <c r="AZ14" i="14"/>
  <c r="BG14" i="14" s="1"/>
  <c r="BI14" i="14" s="1"/>
  <c r="BJ14" i="14" s="1"/>
  <c r="AI9" i="14"/>
  <c r="AL9" i="14"/>
  <c r="AZ9" i="14"/>
  <c r="BG9" i="14" s="1"/>
  <c r="BI9" i="14" s="1"/>
  <c r="BJ9" i="14" s="1"/>
  <c r="AI23" i="14"/>
  <c r="AL23" i="14"/>
  <c r="AZ23" i="14"/>
  <c r="AI19" i="14"/>
  <c r="AL19" i="14"/>
  <c r="AZ19" i="14"/>
  <c r="BG19" i="14" s="1"/>
  <c r="BI19" i="14" s="1"/>
  <c r="BJ19" i="14" s="1"/>
  <c r="BQ13" i="14"/>
  <c r="AI4" i="14"/>
  <c r="AL4" i="14"/>
  <c r="BQ14" i="14"/>
  <c r="AI10" i="14"/>
  <c r="AL10" i="14"/>
  <c r="AZ10" i="14"/>
  <c r="BG10" i="14" s="1"/>
  <c r="BI10" i="14" s="1"/>
  <c r="BJ10" i="14" s="1"/>
  <c r="BL19" i="14"/>
  <c r="AI18" i="14"/>
  <c r="AL18" i="14"/>
  <c r="AZ18" i="14"/>
  <c r="BG18" i="14" s="1"/>
  <c r="BQ10" i="14"/>
  <c r="BL20" i="14"/>
  <c r="BL5" i="14"/>
  <c r="AI16" i="14"/>
  <c r="AL16" i="14"/>
  <c r="AZ16" i="14"/>
  <c r="BG16" i="14" s="1"/>
  <c r="AI15" i="14"/>
  <c r="AL15" i="14"/>
  <c r="AZ15" i="14"/>
  <c r="BG15" i="14" s="1"/>
  <c r="BM7" i="14"/>
  <c r="BN7" i="14" s="1"/>
  <c r="BO7" i="14"/>
  <c r="AI20" i="14"/>
  <c r="AL20" i="14"/>
  <c r="AZ20" i="14"/>
  <c r="BG20" i="14" s="1"/>
  <c r="BQ20" i="14"/>
  <c r="BG23" i="14"/>
  <c r="BM14" i="14"/>
  <c r="BN14" i="14" s="1"/>
  <c r="BO14" i="14"/>
  <c r="BL15" i="14"/>
  <c r="AI12" i="14"/>
  <c r="AL12" i="14"/>
  <c r="AZ12" i="14"/>
  <c r="BQ15" i="14"/>
  <c r="AI11" i="14"/>
  <c r="AL11" i="14"/>
  <c r="AZ11" i="14"/>
  <c r="BG11" i="14" s="1"/>
  <c r="BI11" i="14" s="1"/>
  <c r="BJ11" i="14" s="1"/>
  <c r="BQ5" i="14"/>
  <c r="AJ17" i="14"/>
  <c r="BP17" i="14" s="1"/>
  <c r="AL21" i="14"/>
  <c r="AZ21" i="14"/>
  <c r="BG21" i="14" s="1"/>
  <c r="AI8" i="14"/>
  <c r="AL8" i="14"/>
  <c r="AZ8" i="14"/>
  <c r="BG8" i="14" s="1"/>
  <c r="BG45" i="14"/>
  <c r="BI45" i="14" s="1"/>
  <c r="BJ45" i="14" s="1"/>
  <c r="BG12" i="14"/>
  <c r="BI12" i="14" s="1"/>
  <c r="BJ12" i="14" s="1"/>
  <c r="BG42" i="14"/>
  <c r="BI42" i="14" s="1"/>
  <c r="BJ42" i="14" s="1"/>
  <c r="BI16" i="14"/>
  <c r="BJ16" i="14" s="1"/>
  <c r="BE20" i="14"/>
  <c r="BI20" i="14" s="1"/>
  <c r="BJ20" i="14" s="1"/>
  <c r="BE5" i="14"/>
  <c r="BK4" i="14"/>
  <c r="BL4" i="14" s="1"/>
  <c r="BH4" i="14"/>
  <c r="BI41" i="14"/>
  <c r="BJ41" i="14" s="1"/>
  <c r="BG24" i="14"/>
  <c r="BI24" i="14" s="1"/>
  <c r="BJ24" i="14" s="1"/>
  <c r="BE23" i="14"/>
  <c r="BG29" i="14"/>
  <c r="BI29" i="14" s="1"/>
  <c r="BJ29" i="14" s="1"/>
  <c r="BI44" i="14"/>
  <c r="BJ44" i="14" s="1"/>
  <c r="BG4" i="14"/>
  <c r="BI4" i="14" s="1"/>
  <c r="AX2" i="14"/>
  <c r="BA2" i="14" s="1"/>
  <c r="BE2" i="14" s="1"/>
  <c r="BI34" i="14"/>
  <c r="BJ34" i="14" s="1"/>
  <c r="BG17" i="14"/>
  <c r="BI17" i="14" s="1"/>
  <c r="BJ17" i="14" s="1"/>
  <c r="AY2" i="14"/>
  <c r="BB2" i="14" s="1"/>
  <c r="BF2" i="14" s="1"/>
  <c r="BI37" i="14"/>
  <c r="BJ37" i="14" s="1"/>
  <c r="BI13" i="14"/>
  <c r="BJ13" i="14" s="1"/>
  <c r="BF25" i="14"/>
  <c r="BI25" i="14" s="1"/>
  <c r="BJ25" i="14" s="1"/>
  <c r="BG26" i="14"/>
  <c r="BE35" i="14"/>
  <c r="BI35" i="14" s="1"/>
  <c r="BG32" i="14"/>
  <c r="BI47" i="14"/>
  <c r="BJ47" i="14" s="1"/>
  <c r="BE8" i="14"/>
  <c r="BI39" i="14"/>
  <c r="BJ39" i="14" s="1"/>
  <c r="BI40" i="14"/>
  <c r="BJ40" i="14" s="1"/>
  <c r="BI43" i="14"/>
  <c r="BJ43" i="14" s="1"/>
  <c r="BI48" i="14"/>
  <c r="BJ48" i="14" s="1"/>
  <c r="BI46" i="14"/>
  <c r="BJ46" i="14" s="1"/>
  <c r="BI36" i="14"/>
  <c r="BJ36" i="14" s="1"/>
  <c r="BI49" i="14"/>
  <c r="BJ49" i="14" s="1"/>
  <c r="BI27" i="14"/>
  <c r="BJ27" i="14" s="1"/>
  <c r="BI33" i="14"/>
  <c r="BJ33" i="14" s="1"/>
  <c r="BG28" i="14"/>
  <c r="BG31" i="14"/>
  <c r="BI21" i="14"/>
  <c r="BJ21" i="14" s="1"/>
  <c r="BI15" i="14"/>
  <c r="BJ15" i="14" s="1"/>
  <c r="BI18" i="14"/>
  <c r="BJ18" i="14" s="1"/>
  <c r="BI30" i="14"/>
  <c r="BJ30" i="14" s="1"/>
  <c r="BI7" i="14"/>
  <c r="BJ7" i="14" s="1"/>
  <c r="AL2" i="14"/>
  <c r="AZ2" i="14"/>
  <c r="BQ2" i="14"/>
  <c r="AG51" i="14"/>
  <c r="AG52" i="14"/>
  <c r="AG53" i="14"/>
  <c r="AG54" i="14"/>
  <c r="AG55" i="14"/>
  <c r="AG56" i="14"/>
  <c r="AG57" i="14"/>
  <c r="AG58" i="14"/>
  <c r="AG59" i="14"/>
  <c r="AG60" i="14"/>
  <c r="BM21" i="14" l="1"/>
  <c r="BN21" i="14" s="1"/>
  <c r="BO21" i="14"/>
  <c r="BM18" i="14"/>
  <c r="BN18" i="14" s="1"/>
  <c r="BO18" i="14"/>
  <c r="BO4" i="14"/>
  <c r="BM4" i="14"/>
  <c r="BN4" i="14" s="1"/>
  <c r="BM8" i="14"/>
  <c r="BN8" i="14" s="1"/>
  <c r="BO8" i="14"/>
  <c r="BM16" i="14"/>
  <c r="BN16" i="14" s="1"/>
  <c r="BO16" i="14"/>
  <c r="BM5" i="14"/>
  <c r="BN5" i="14" s="1"/>
  <c r="BO5" i="14"/>
  <c r="BM22" i="14"/>
  <c r="BN22" i="14" s="1"/>
  <c r="BO22" i="14"/>
  <c r="BI5" i="14"/>
  <c r="BJ5" i="14" s="1"/>
  <c r="BO19" i="14"/>
  <c r="BM19" i="14"/>
  <c r="BN19" i="14" s="1"/>
  <c r="BM11" i="14"/>
  <c r="BN11" i="14" s="1"/>
  <c r="BO11" i="14"/>
  <c r="BM10" i="14"/>
  <c r="BN10" i="14" s="1"/>
  <c r="BO10" i="14"/>
  <c r="BM23" i="14"/>
  <c r="BN23" i="14" s="1"/>
  <c r="BO23" i="14"/>
  <c r="BM6" i="14"/>
  <c r="BN6" i="14" s="1"/>
  <c r="BO6" i="14"/>
  <c r="BM15" i="14"/>
  <c r="BN15" i="14" s="1"/>
  <c r="BO15" i="14"/>
  <c r="BM9" i="14"/>
  <c r="BN9" i="14" s="1"/>
  <c r="BO9" i="14"/>
  <c r="BM20" i="14"/>
  <c r="BN20" i="14" s="1"/>
  <c r="BO20" i="14"/>
  <c r="BM13" i="14"/>
  <c r="BN13" i="14" s="1"/>
  <c r="BO13" i="14"/>
  <c r="BI23" i="14"/>
  <c r="BJ23" i="14" s="1"/>
  <c r="BO12" i="14"/>
  <c r="BM12" i="14"/>
  <c r="BN12" i="14" s="1"/>
  <c r="BM17" i="14"/>
  <c r="BN17" i="14" s="1"/>
  <c r="BO17" i="14"/>
  <c r="BK2" i="14"/>
  <c r="BL2" i="14" s="1"/>
  <c r="BH2" i="14"/>
  <c r="BJ4" i="14"/>
  <c r="AX51" i="14"/>
  <c r="AY51" i="14"/>
  <c r="AX56" i="14"/>
  <c r="AY56" i="14"/>
  <c r="AY55" i="14"/>
  <c r="AX55" i="14"/>
  <c r="AX60" i="14"/>
  <c r="AY60" i="14"/>
  <c r="AX54" i="14"/>
  <c r="AY54" i="14"/>
  <c r="BI32" i="14"/>
  <c r="BJ32" i="14" s="1"/>
  <c r="AX59" i="14"/>
  <c r="AY59" i="14"/>
  <c r="AX53" i="14"/>
  <c r="AY53" i="14"/>
  <c r="AY58" i="14"/>
  <c r="AX58" i="14"/>
  <c r="AY52" i="14"/>
  <c r="AX52" i="14"/>
  <c r="BJ35" i="14"/>
  <c r="AX57" i="14"/>
  <c r="AY57" i="14"/>
  <c r="BI26" i="14"/>
  <c r="BJ26" i="14" s="1"/>
  <c r="BI8" i="14"/>
  <c r="BJ8" i="14" s="1"/>
  <c r="BI31" i="14"/>
  <c r="BJ31" i="14" s="1"/>
  <c r="BI28" i="14"/>
  <c r="BJ28" i="14" s="1"/>
  <c r="BG2" i="14"/>
  <c r="BB52" i="14" l="1"/>
  <c r="BH52" i="14"/>
  <c r="BA59" i="14"/>
  <c r="BE59" i="14" s="1"/>
  <c r="BK59" i="14"/>
  <c r="BK60" i="14"/>
  <c r="BA60" i="14"/>
  <c r="BA58" i="14"/>
  <c r="BE58" i="14" s="1"/>
  <c r="BK58" i="14"/>
  <c r="BB56" i="14"/>
  <c r="BF56" i="14" s="1"/>
  <c r="BH56" i="14"/>
  <c r="BB57" i="14"/>
  <c r="BF57" i="14" s="1"/>
  <c r="BH57" i="14"/>
  <c r="BB58" i="14"/>
  <c r="BH58" i="14"/>
  <c r="BA56" i="14"/>
  <c r="BK56" i="14"/>
  <c r="BA57" i="14"/>
  <c r="BE57" i="14" s="1"/>
  <c r="BK57" i="14"/>
  <c r="BB53" i="14"/>
  <c r="BF53" i="14" s="1"/>
  <c r="BH53" i="14"/>
  <c r="BB54" i="14"/>
  <c r="BF54" i="14" s="1"/>
  <c r="BH54" i="14"/>
  <c r="BA55" i="14"/>
  <c r="BE55" i="14" s="1"/>
  <c r="BK55" i="14"/>
  <c r="BB51" i="14"/>
  <c r="BF51" i="14" s="1"/>
  <c r="BH51" i="14"/>
  <c r="BK53" i="14"/>
  <c r="BA53" i="14"/>
  <c r="BE53" i="14" s="1"/>
  <c r="BA54" i="14"/>
  <c r="BE54" i="14" s="1"/>
  <c r="BK54" i="14"/>
  <c r="BB55" i="14"/>
  <c r="BF55" i="14" s="1"/>
  <c r="BH55" i="14"/>
  <c r="BK51" i="14"/>
  <c r="BA51" i="14"/>
  <c r="BE51" i="14" s="1"/>
  <c r="BA52" i="14"/>
  <c r="BE52" i="14" s="1"/>
  <c r="BK52" i="14"/>
  <c r="BB59" i="14"/>
  <c r="BF59" i="14" s="1"/>
  <c r="BH59" i="14"/>
  <c r="BB60" i="14"/>
  <c r="BF60" i="14" s="1"/>
  <c r="BH60" i="14"/>
  <c r="BI2" i="14"/>
  <c r="BJ2" i="14" l="1"/>
  <c r="AI2" i="14" s="1"/>
  <c r="AJ2" i="14"/>
  <c r="BP2" i="14" s="1"/>
  <c r="BF58" i="14"/>
  <c r="BE56" i="14"/>
  <c r="BF52" i="14"/>
  <c r="BE60" i="14"/>
  <c r="BD3" i="14"/>
  <c r="BC3" i="14"/>
  <c r="BO2" i="14" l="1"/>
  <c r="BM2" i="14"/>
  <c r="BN2" i="14" s="1"/>
  <c r="AE3" i="14"/>
  <c r="AE50" i="14"/>
  <c r="AE51" i="14"/>
  <c r="AE52" i="14"/>
  <c r="AE53" i="14"/>
  <c r="AE54" i="14"/>
  <c r="AE55" i="14"/>
  <c r="AE56" i="14"/>
  <c r="AE57" i="14"/>
  <c r="AE58" i="14"/>
  <c r="AE59" i="14"/>
  <c r="AE60" i="14"/>
  <c r="AD3" i="14"/>
  <c r="AD50" i="14"/>
  <c r="AD51" i="14"/>
  <c r="AD52" i="14"/>
  <c r="AD53" i="14"/>
  <c r="AD54" i="14"/>
  <c r="AD55" i="14"/>
  <c r="AD56" i="14"/>
  <c r="AD57" i="14"/>
  <c r="AD58" i="14"/>
  <c r="AD59" i="14"/>
  <c r="AD60" i="14"/>
  <c r="AA3" i="14"/>
  <c r="AA50" i="14"/>
  <c r="AA51" i="14"/>
  <c r="AA52" i="14"/>
  <c r="AA53" i="14"/>
  <c r="AA54" i="14"/>
  <c r="AA55" i="14"/>
  <c r="AA56" i="14"/>
  <c r="AA57" i="14"/>
  <c r="AA58" i="14"/>
  <c r="AA59" i="14"/>
  <c r="AA60" i="14"/>
  <c r="Z3" i="14"/>
  <c r="Z50" i="14"/>
  <c r="Z51" i="14"/>
  <c r="Z52" i="14"/>
  <c r="Z53" i="14"/>
  <c r="Z54" i="14"/>
  <c r="Z55" i="14"/>
  <c r="Z56" i="14"/>
  <c r="Z57" i="14"/>
  <c r="Z58" i="14"/>
  <c r="Z59" i="14"/>
  <c r="Z60" i="14"/>
  <c r="W3" i="14"/>
  <c r="W50" i="14"/>
  <c r="W51" i="14"/>
  <c r="W52" i="14"/>
  <c r="W53" i="14"/>
  <c r="W54" i="14"/>
  <c r="W55" i="14"/>
  <c r="W56" i="14"/>
  <c r="W57" i="14"/>
  <c r="W58" i="14"/>
  <c r="W59" i="14"/>
  <c r="W60" i="14"/>
  <c r="V3" i="14"/>
  <c r="V50" i="14"/>
  <c r="V51" i="14"/>
  <c r="V52" i="14"/>
  <c r="V53" i="14"/>
  <c r="V54" i="14"/>
  <c r="V55" i="14"/>
  <c r="V56" i="14"/>
  <c r="V57" i="14"/>
  <c r="V58" i="14"/>
  <c r="V59" i="14"/>
  <c r="V60" i="14"/>
  <c r="AG50" i="14" l="1"/>
  <c r="AK50" i="14" s="1"/>
  <c r="AG3" i="14"/>
  <c r="B50" i="14"/>
  <c r="B51" i="14"/>
  <c r="B52" i="14"/>
  <c r="B53" i="14"/>
  <c r="B54" i="14"/>
  <c r="B55" i="14"/>
  <c r="B56" i="14"/>
  <c r="B57" i="14"/>
  <c r="B58" i="14"/>
  <c r="B59" i="14"/>
  <c r="B60" i="14"/>
  <c r="AY3" i="14" l="1"/>
  <c r="AK3" i="14"/>
  <c r="AX50" i="14"/>
  <c r="AY50" i="14"/>
  <c r="AI50" i="14"/>
  <c r="AL50" i="14"/>
  <c r="AJ50" i="14"/>
  <c r="BK50" i="14"/>
  <c r="BA50" i="14"/>
  <c r="BE50" i="14" s="1"/>
  <c r="BB50" i="14"/>
  <c r="BF50" i="14" s="1"/>
  <c r="BH50" i="14"/>
  <c r="AX3" i="14"/>
  <c r="BA3" i="14" s="1"/>
  <c r="BE3" i="14" s="1"/>
  <c r="BB3" i="14"/>
  <c r="BF3" i="14" s="1"/>
  <c r="A44" i="15"/>
  <c r="B10" i="15"/>
  <c r="D10" i="15"/>
  <c r="E10" i="15"/>
  <c r="F10" i="15"/>
  <c r="G10" i="15"/>
  <c r="H10" i="15"/>
  <c r="I10" i="15"/>
  <c r="J10" i="15"/>
  <c r="B11" i="15"/>
  <c r="D11" i="15"/>
  <c r="E11" i="15"/>
  <c r="F11" i="15"/>
  <c r="G11" i="15"/>
  <c r="H11" i="15"/>
  <c r="I11" i="15"/>
  <c r="J11" i="15"/>
  <c r="B12" i="15"/>
  <c r="D12" i="15"/>
  <c r="E12" i="15"/>
  <c r="F12" i="15"/>
  <c r="G12" i="15"/>
  <c r="H12" i="15"/>
  <c r="I12" i="15"/>
  <c r="J12" i="15"/>
  <c r="B13" i="15"/>
  <c r="D13" i="15"/>
  <c r="E13" i="15"/>
  <c r="F13" i="15"/>
  <c r="G13" i="15"/>
  <c r="H13" i="15"/>
  <c r="I13" i="15"/>
  <c r="J13" i="15"/>
  <c r="B14" i="15"/>
  <c r="D14" i="15"/>
  <c r="E14" i="15"/>
  <c r="F14" i="15"/>
  <c r="G14" i="15"/>
  <c r="H14" i="15"/>
  <c r="I14" i="15"/>
  <c r="J14" i="15"/>
  <c r="B15" i="15"/>
  <c r="D15" i="15"/>
  <c r="E15" i="15"/>
  <c r="F15" i="15"/>
  <c r="G15" i="15"/>
  <c r="H15" i="15"/>
  <c r="I15" i="15"/>
  <c r="J15" i="15"/>
  <c r="B16" i="15"/>
  <c r="D16" i="15"/>
  <c r="E16" i="15"/>
  <c r="F16" i="15"/>
  <c r="G16" i="15"/>
  <c r="H16" i="15"/>
  <c r="I16" i="15"/>
  <c r="J16" i="15"/>
  <c r="B17" i="15"/>
  <c r="D17" i="15"/>
  <c r="E17" i="15"/>
  <c r="F17" i="15"/>
  <c r="G17" i="15"/>
  <c r="H17" i="15"/>
  <c r="I17" i="15"/>
  <c r="J17" i="15"/>
  <c r="B18" i="15"/>
  <c r="D18" i="15"/>
  <c r="E18" i="15"/>
  <c r="F18" i="15"/>
  <c r="G18" i="15"/>
  <c r="H18" i="15"/>
  <c r="I18" i="15"/>
  <c r="J18" i="15"/>
  <c r="B19" i="15"/>
  <c r="D19" i="15"/>
  <c r="E19" i="15"/>
  <c r="F19" i="15"/>
  <c r="G19" i="15"/>
  <c r="H19" i="15"/>
  <c r="I19" i="15"/>
  <c r="J19" i="15"/>
  <c r="B20" i="15"/>
  <c r="D20" i="15"/>
  <c r="E20" i="15"/>
  <c r="F20" i="15"/>
  <c r="G20" i="15"/>
  <c r="H20" i="15"/>
  <c r="I20" i="15"/>
  <c r="J20" i="15"/>
  <c r="B21" i="15"/>
  <c r="D21" i="15"/>
  <c r="E21" i="15"/>
  <c r="F21" i="15"/>
  <c r="G21" i="15"/>
  <c r="H21" i="15"/>
  <c r="I21" i="15"/>
  <c r="J21" i="15"/>
  <c r="B22" i="15"/>
  <c r="D22" i="15"/>
  <c r="E22" i="15"/>
  <c r="F22" i="15"/>
  <c r="G22" i="15"/>
  <c r="H22" i="15"/>
  <c r="I22" i="15"/>
  <c r="J22" i="15"/>
  <c r="B23" i="15"/>
  <c r="D23" i="15"/>
  <c r="E23" i="15"/>
  <c r="F23" i="15"/>
  <c r="G23" i="15"/>
  <c r="H23" i="15"/>
  <c r="I23" i="15"/>
  <c r="J23" i="15"/>
  <c r="B24" i="15"/>
  <c r="D24" i="15"/>
  <c r="E24" i="15"/>
  <c r="F24" i="15"/>
  <c r="G24" i="15"/>
  <c r="H24" i="15"/>
  <c r="I24" i="15"/>
  <c r="J24" i="15"/>
  <c r="B25" i="15"/>
  <c r="D25" i="15"/>
  <c r="E25" i="15"/>
  <c r="F25" i="15"/>
  <c r="G25" i="15"/>
  <c r="H25" i="15"/>
  <c r="I25" i="15"/>
  <c r="J25" i="15"/>
  <c r="B26" i="15"/>
  <c r="D26" i="15"/>
  <c r="E26" i="15"/>
  <c r="F26" i="15"/>
  <c r="G26" i="15"/>
  <c r="H26" i="15"/>
  <c r="I26" i="15"/>
  <c r="J26" i="15"/>
  <c r="B27" i="15"/>
  <c r="D27" i="15"/>
  <c r="E27" i="15"/>
  <c r="F27" i="15"/>
  <c r="G27" i="15"/>
  <c r="H27" i="15"/>
  <c r="I27" i="15"/>
  <c r="J27" i="15"/>
  <c r="B28" i="15"/>
  <c r="D28" i="15"/>
  <c r="E28" i="15"/>
  <c r="F28" i="15"/>
  <c r="G28" i="15"/>
  <c r="H28" i="15"/>
  <c r="I28" i="15"/>
  <c r="J28" i="15"/>
  <c r="B29" i="15"/>
  <c r="D29" i="15"/>
  <c r="E29" i="15"/>
  <c r="F29" i="15"/>
  <c r="G29" i="15"/>
  <c r="H29" i="15"/>
  <c r="I29" i="15"/>
  <c r="J29" i="15"/>
  <c r="B30" i="15"/>
  <c r="D30" i="15"/>
  <c r="E30" i="15"/>
  <c r="F30" i="15"/>
  <c r="G30" i="15"/>
  <c r="H30" i="15"/>
  <c r="I30" i="15"/>
  <c r="J30" i="15"/>
  <c r="D9" i="15"/>
  <c r="E9" i="15"/>
  <c r="F9" i="15"/>
  <c r="G9" i="15"/>
  <c r="H9" i="15"/>
  <c r="I9" i="15"/>
  <c r="J9" i="15"/>
  <c r="D31" i="15"/>
  <c r="E31" i="15"/>
  <c r="F31" i="15"/>
  <c r="G31" i="15"/>
  <c r="H31" i="15"/>
  <c r="I31" i="15"/>
  <c r="J31" i="15"/>
  <c r="D32" i="15"/>
  <c r="E32" i="15"/>
  <c r="F32" i="15"/>
  <c r="G32" i="15"/>
  <c r="H32" i="15"/>
  <c r="I32" i="15"/>
  <c r="J32" i="15"/>
  <c r="D33" i="15"/>
  <c r="E33" i="15"/>
  <c r="F33" i="15"/>
  <c r="G33" i="15"/>
  <c r="H33" i="15"/>
  <c r="I33" i="15"/>
  <c r="J33" i="15"/>
  <c r="D34" i="15"/>
  <c r="E34" i="15"/>
  <c r="F34" i="15"/>
  <c r="G34" i="15"/>
  <c r="H34" i="15"/>
  <c r="I34" i="15"/>
  <c r="J34" i="15"/>
  <c r="D35" i="15"/>
  <c r="E35" i="15"/>
  <c r="F35" i="15"/>
  <c r="G35" i="15"/>
  <c r="H35" i="15"/>
  <c r="I35" i="15"/>
  <c r="J35" i="15"/>
  <c r="D36" i="15"/>
  <c r="E36" i="15"/>
  <c r="F36" i="15"/>
  <c r="G36" i="15"/>
  <c r="H36" i="15"/>
  <c r="I36" i="15"/>
  <c r="J36" i="15"/>
  <c r="D37" i="15"/>
  <c r="E37" i="15"/>
  <c r="F37" i="15"/>
  <c r="G37" i="15"/>
  <c r="H37" i="15"/>
  <c r="I37" i="15"/>
  <c r="J37" i="15"/>
  <c r="D38" i="15"/>
  <c r="E38" i="15"/>
  <c r="F38" i="15"/>
  <c r="G38" i="15"/>
  <c r="H38" i="15"/>
  <c r="I38" i="15"/>
  <c r="J38" i="15"/>
  <c r="D39" i="15"/>
  <c r="E39" i="15"/>
  <c r="F39" i="15"/>
  <c r="G39" i="15"/>
  <c r="H39" i="15"/>
  <c r="I39" i="15"/>
  <c r="J39" i="15"/>
  <c r="D40" i="15"/>
  <c r="E40" i="15"/>
  <c r="F40" i="15"/>
  <c r="G40" i="15"/>
  <c r="H40" i="15"/>
  <c r="I40" i="15"/>
  <c r="J40" i="15"/>
  <c r="D41" i="15"/>
  <c r="E41" i="15"/>
  <c r="F41" i="15"/>
  <c r="G41" i="15"/>
  <c r="H41" i="15"/>
  <c r="I41" i="15"/>
  <c r="J41" i="15"/>
  <c r="D42" i="15"/>
  <c r="E42" i="15"/>
  <c r="F42" i="15"/>
  <c r="G42" i="15"/>
  <c r="H42" i="15"/>
  <c r="I42" i="15"/>
  <c r="J42" i="15"/>
  <c r="D43" i="15"/>
  <c r="E43" i="15"/>
  <c r="F43" i="15"/>
  <c r="G43" i="15"/>
  <c r="H43" i="15"/>
  <c r="I43" i="15"/>
  <c r="J43" i="15"/>
  <c r="D44" i="15"/>
  <c r="E44" i="15"/>
  <c r="F44" i="15"/>
  <c r="G44" i="15"/>
  <c r="H44" i="15"/>
  <c r="I44" i="15"/>
  <c r="J44" i="15"/>
  <c r="D45" i="15"/>
  <c r="E45" i="15"/>
  <c r="F45" i="15"/>
  <c r="G45" i="15"/>
  <c r="H45" i="15"/>
  <c r="I45" i="15"/>
  <c r="J45" i="15"/>
  <c r="D46" i="15"/>
  <c r="E46" i="15"/>
  <c r="F46" i="15"/>
  <c r="G46" i="15"/>
  <c r="H46" i="15"/>
  <c r="I46" i="15"/>
  <c r="J46" i="15"/>
  <c r="D47" i="15"/>
  <c r="E47" i="15"/>
  <c r="F47" i="15"/>
  <c r="G47" i="15"/>
  <c r="H47" i="15"/>
  <c r="I47" i="15"/>
  <c r="J47" i="15"/>
  <c r="D48" i="15"/>
  <c r="E48" i="15"/>
  <c r="F48" i="15"/>
  <c r="G48" i="15"/>
  <c r="H48" i="15"/>
  <c r="I48" i="15"/>
  <c r="J48" i="15"/>
  <c r="D49" i="15"/>
  <c r="E49" i="15"/>
  <c r="F49" i="15"/>
  <c r="G49" i="15"/>
  <c r="H49" i="15"/>
  <c r="I49" i="15"/>
  <c r="J49" i="15"/>
  <c r="D50" i="15"/>
  <c r="E50" i="15"/>
  <c r="F50" i="15"/>
  <c r="G50" i="15"/>
  <c r="H50" i="15"/>
  <c r="I50" i="15"/>
  <c r="J50" i="15"/>
  <c r="D51" i="15"/>
  <c r="E51" i="15"/>
  <c r="F51" i="15"/>
  <c r="G51" i="15"/>
  <c r="H51" i="15"/>
  <c r="I51" i="15"/>
  <c r="J51" i="15"/>
  <c r="D52" i="15"/>
  <c r="E52" i="15"/>
  <c r="F52" i="15"/>
  <c r="G52" i="15"/>
  <c r="H52" i="15"/>
  <c r="I52" i="15"/>
  <c r="J52" i="15"/>
  <c r="D53" i="15"/>
  <c r="E53" i="15"/>
  <c r="F53" i="15"/>
  <c r="G53" i="15"/>
  <c r="H53" i="15"/>
  <c r="I53" i="15"/>
  <c r="J53" i="15"/>
  <c r="D54" i="15"/>
  <c r="E54" i="15"/>
  <c r="F54" i="15"/>
  <c r="G54" i="15"/>
  <c r="H54" i="15"/>
  <c r="I54" i="15"/>
  <c r="J54" i="15"/>
  <c r="D55" i="15"/>
  <c r="E55" i="15"/>
  <c r="F55" i="15"/>
  <c r="G55" i="15"/>
  <c r="H55" i="15"/>
  <c r="I55" i="15"/>
  <c r="J55" i="15"/>
  <c r="D56" i="15"/>
  <c r="E56" i="15"/>
  <c r="F56" i="15"/>
  <c r="G56" i="15"/>
  <c r="H56" i="15"/>
  <c r="I56" i="15"/>
  <c r="J56" i="15"/>
  <c r="D57" i="15"/>
  <c r="E57" i="15"/>
  <c r="F57" i="15"/>
  <c r="G57" i="15"/>
  <c r="H57" i="15"/>
  <c r="I57" i="15"/>
  <c r="J57" i="15"/>
  <c r="D58" i="15"/>
  <c r="E58" i="15"/>
  <c r="F58" i="15"/>
  <c r="G58" i="15"/>
  <c r="H58" i="15"/>
  <c r="I58" i="15"/>
  <c r="J58" i="15"/>
  <c r="D59" i="15"/>
  <c r="E59" i="15"/>
  <c r="F59" i="15"/>
  <c r="G59" i="15"/>
  <c r="H59" i="15"/>
  <c r="I59" i="15"/>
  <c r="J59" i="15"/>
  <c r="D60" i="15"/>
  <c r="E60" i="15"/>
  <c r="F60" i="15"/>
  <c r="G60" i="15"/>
  <c r="H60" i="15"/>
  <c r="I60" i="15"/>
  <c r="J60" i="15"/>
  <c r="B9"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3" i="15"/>
  <c r="B4" i="15"/>
  <c r="B5" i="15"/>
  <c r="B6" i="15"/>
  <c r="B7" i="15"/>
  <c r="B8" i="15"/>
  <c r="L51" i="14"/>
  <c r="L52" i="14"/>
  <c r="L53" i="14"/>
  <c r="L54" i="14"/>
  <c r="L55" i="14"/>
  <c r="L56" i="14"/>
  <c r="L57" i="14"/>
  <c r="L58" i="14"/>
  <c r="L59" i="14"/>
  <c r="AK58" i="14" l="1"/>
  <c r="AJ58" i="14" s="1"/>
  <c r="AK57" i="14"/>
  <c r="AJ57" i="14" s="1"/>
  <c r="AK56" i="14"/>
  <c r="AL56" i="14" s="1"/>
  <c r="AK54" i="14"/>
  <c r="AJ54" i="14" s="1"/>
  <c r="AK53" i="14"/>
  <c r="AJ53" i="14"/>
  <c r="AK51" i="14"/>
  <c r="AJ51" i="14" s="1"/>
  <c r="AK59" i="14"/>
  <c r="AL59" i="14" s="1"/>
  <c r="AK52" i="14"/>
  <c r="BQ52" i="14" s="1"/>
  <c r="AJ52" i="14"/>
  <c r="AL3" i="14"/>
  <c r="AK55" i="14"/>
  <c r="AL55" i="14" s="1"/>
  <c r="AI55" i="14"/>
  <c r="AJ55" i="14"/>
  <c r="A56" i="15"/>
  <c r="A26" i="15"/>
  <c r="BK3" i="14"/>
  <c r="A27" i="15"/>
  <c r="BH3" i="14"/>
  <c r="A58" i="15"/>
  <c r="A46" i="15"/>
  <c r="A59" i="15"/>
  <c r="A47" i="15"/>
  <c r="A23" i="15"/>
  <c r="A57" i="15"/>
  <c r="A51" i="15"/>
  <c r="A45" i="15"/>
  <c r="A55" i="15"/>
  <c r="A25" i="15"/>
  <c r="A60" i="15"/>
  <c r="A54" i="15"/>
  <c r="A48" i="15"/>
  <c r="A30" i="15"/>
  <c r="A24" i="15"/>
  <c r="A6" i="15"/>
  <c r="M56" i="14"/>
  <c r="M54" i="14"/>
  <c r="M53" i="14"/>
  <c r="M52" i="14"/>
  <c r="M58" i="14"/>
  <c r="BQ50" i="14"/>
  <c r="M57" i="14"/>
  <c r="M55" i="14"/>
  <c r="M59" i="14"/>
  <c r="M51" i="14"/>
  <c r="A49" i="15"/>
  <c r="A28" i="15"/>
  <c r="A52" i="15"/>
  <c r="A50" i="15"/>
  <c r="A29" i="15"/>
  <c r="A53" i="15"/>
  <c r="AI53" i="14" l="1"/>
  <c r="AL53" i="14"/>
  <c r="AI54" i="14"/>
  <c r="AL54" i="14"/>
  <c r="BQ53" i="14"/>
  <c r="AJ56" i="14"/>
  <c r="BP56" i="14" s="1"/>
  <c r="AI56" i="14"/>
  <c r="BQ55" i="14"/>
  <c r="AI51" i="14"/>
  <c r="AL51" i="14"/>
  <c r="AI57" i="14"/>
  <c r="AL57" i="14"/>
  <c r="AI52" i="14"/>
  <c r="AL52" i="14"/>
  <c r="BQ59" i="14"/>
  <c r="AI59" i="14"/>
  <c r="AJ59" i="14"/>
  <c r="AI58" i="14"/>
  <c r="AL58" i="14"/>
  <c r="AZ51" i="14"/>
  <c r="BG51" i="14" s="1"/>
  <c r="BI51" i="14" s="1"/>
  <c r="BJ51" i="14" s="1"/>
  <c r="BL51" i="14"/>
  <c r="AZ58" i="14"/>
  <c r="BG58" i="14" s="1"/>
  <c r="BI58" i="14" s="1"/>
  <c r="BJ58" i="14" s="1"/>
  <c r="BL58" i="14"/>
  <c r="AZ54" i="14"/>
  <c r="BG54" i="14" s="1"/>
  <c r="BI54" i="14" s="1"/>
  <c r="BJ54" i="14" s="1"/>
  <c r="BL54" i="14"/>
  <c r="AZ52" i="14"/>
  <c r="BG52" i="14" s="1"/>
  <c r="BI52" i="14" s="1"/>
  <c r="BJ52" i="14" s="1"/>
  <c r="BL52" i="14"/>
  <c r="AZ57" i="14"/>
  <c r="BG57" i="14" s="1"/>
  <c r="BI57" i="14" s="1"/>
  <c r="BJ57" i="14" s="1"/>
  <c r="BL57" i="14"/>
  <c r="BQ51" i="14"/>
  <c r="AZ55" i="14"/>
  <c r="BG55" i="14" s="1"/>
  <c r="BL55" i="14"/>
  <c r="AZ53" i="14"/>
  <c r="BG53" i="14" s="1"/>
  <c r="BL53" i="14"/>
  <c r="BQ57" i="14"/>
  <c r="BQ54" i="14"/>
  <c r="AZ59" i="14"/>
  <c r="BG59" i="14" s="1"/>
  <c r="BL59" i="14"/>
  <c r="AZ56" i="14"/>
  <c r="BG56" i="14" s="1"/>
  <c r="BI56" i="14" s="1"/>
  <c r="BJ56" i="14" s="1"/>
  <c r="BL56" i="14"/>
  <c r="AZ50" i="14"/>
  <c r="BG50" i="14" s="1"/>
  <c r="BL50" i="14"/>
  <c r="BQ58" i="14"/>
  <c r="BQ56" i="14"/>
  <c r="BP50" i="14"/>
  <c r="BP51" i="14"/>
  <c r="BP53" i="14"/>
  <c r="BP54" i="14"/>
  <c r="BP59" i="14"/>
  <c r="BP58" i="14"/>
  <c r="BP55" i="14"/>
  <c r="BP57" i="14"/>
  <c r="BP52" i="14"/>
  <c r="C25" i="15"/>
  <c r="C23" i="15"/>
  <c r="C24" i="15"/>
  <c r="L60" i="14"/>
  <c r="AK60" i="14" l="1"/>
  <c r="AJ60" i="14" s="1"/>
  <c r="BI53" i="14"/>
  <c r="BJ53" i="14" s="1"/>
  <c r="BI59" i="14"/>
  <c r="BJ59" i="14" s="1"/>
  <c r="BI50" i="14"/>
  <c r="BJ50" i="14" s="1"/>
  <c r="BI55" i="14"/>
  <c r="BJ55" i="14" s="1"/>
  <c r="BM54" i="14"/>
  <c r="BN54" i="14" s="1"/>
  <c r="BO54" i="14"/>
  <c r="BO52" i="14"/>
  <c r="BM52" i="14"/>
  <c r="BN52" i="14" s="1"/>
  <c r="BO57" i="14"/>
  <c r="BM57" i="14"/>
  <c r="BN57" i="14" s="1"/>
  <c r="BM58" i="14"/>
  <c r="BN58" i="14" s="1"/>
  <c r="BO58" i="14"/>
  <c r="BM50" i="14"/>
  <c r="BN50" i="14" s="1"/>
  <c r="BO50" i="14"/>
  <c r="BO55" i="14"/>
  <c r="BM55" i="14"/>
  <c r="BN55" i="14" s="1"/>
  <c r="BM59" i="14"/>
  <c r="BN59" i="14" s="1"/>
  <c r="BO59" i="14"/>
  <c r="BM56" i="14"/>
  <c r="BN56" i="14" s="1"/>
  <c r="BO56" i="14"/>
  <c r="BM51" i="14"/>
  <c r="BN51" i="14" s="1"/>
  <c r="BO51" i="14"/>
  <c r="BM53" i="14"/>
  <c r="BN53" i="14" s="1"/>
  <c r="BO53" i="14"/>
  <c r="C28" i="15"/>
  <c r="M60" i="14"/>
  <c r="C26" i="15"/>
  <c r="C50" i="15"/>
  <c r="C48" i="15"/>
  <c r="C52" i="15"/>
  <c r="C58" i="15"/>
  <c r="C29" i="15"/>
  <c r="C46" i="15"/>
  <c r="C59" i="15"/>
  <c r="C49" i="15"/>
  <c r="C47" i="15"/>
  <c r="C31" i="15"/>
  <c r="C35" i="15"/>
  <c r="C40" i="15"/>
  <c r="C39" i="15"/>
  <c r="C37" i="15"/>
  <c r="C38" i="15"/>
  <c r="AI60" i="14" l="1"/>
  <c r="AL60" i="14"/>
  <c r="BQ3" i="14"/>
  <c r="AZ60" i="14"/>
  <c r="BG60" i="14" s="1"/>
  <c r="BI60" i="14" s="1"/>
  <c r="BJ60" i="14" s="1"/>
  <c r="BL60" i="14"/>
  <c r="BQ60" i="14"/>
  <c r="C60" i="15"/>
  <c r="AZ3" i="14"/>
  <c r="BG3" i="14" s="1"/>
  <c r="BP60" i="14"/>
  <c r="BL3" i="14"/>
  <c r="C53" i="15"/>
  <c r="C41" i="15"/>
  <c r="C33" i="15"/>
  <c r="C55" i="15"/>
  <c r="C56" i="15"/>
  <c r="C32" i="15"/>
  <c r="C57" i="15"/>
  <c r="C54" i="15"/>
  <c r="C34" i="15"/>
  <c r="A34" i="15"/>
  <c r="A13" i="15"/>
  <c r="A40" i="15"/>
  <c r="A19" i="15"/>
  <c r="C30" i="15"/>
  <c r="A33" i="15"/>
  <c r="A12" i="15"/>
  <c r="A39" i="15"/>
  <c r="A18" i="15"/>
  <c r="A32" i="15"/>
  <c r="A11" i="15"/>
  <c r="A38" i="15"/>
  <c r="A17" i="15"/>
  <c r="C51" i="15"/>
  <c r="A31" i="15"/>
  <c r="A10" i="15"/>
  <c r="A37" i="15"/>
  <c r="A16" i="15"/>
  <c r="A36" i="15"/>
  <c r="A15" i="15"/>
  <c r="C36" i="15"/>
  <c r="C45" i="15"/>
  <c r="C44" i="15"/>
  <c r="C42" i="15"/>
  <c r="C27" i="15"/>
  <c r="A43" i="15"/>
  <c r="A22" i="15"/>
  <c r="C43" i="15"/>
  <c r="A35" i="15"/>
  <c r="A14" i="15"/>
  <c r="A41" i="15"/>
  <c r="A20" i="15"/>
  <c r="A42" i="15"/>
  <c r="A21" i="15"/>
  <c r="A2" i="15"/>
  <c r="A3" i="15"/>
  <c r="A4" i="15"/>
  <c r="A5" i="15"/>
  <c r="A7" i="15"/>
  <c r="A8" i="15"/>
  <c r="A9" i="15"/>
  <c r="BM60" i="14" l="1"/>
  <c r="BN60" i="14" s="1"/>
  <c r="BO60" i="14"/>
  <c r="BI3" i="14"/>
  <c r="D6" i="15"/>
  <c r="E6" i="15"/>
  <c r="F6" i="15"/>
  <c r="G6" i="15"/>
  <c r="H6" i="15"/>
  <c r="I6" i="15"/>
  <c r="J6" i="15"/>
  <c r="D7" i="15"/>
  <c r="E7" i="15"/>
  <c r="F7" i="15"/>
  <c r="G7" i="15"/>
  <c r="H7" i="15"/>
  <c r="I7" i="15"/>
  <c r="J7" i="15"/>
  <c r="D8" i="15"/>
  <c r="E8" i="15"/>
  <c r="F8" i="15"/>
  <c r="G8" i="15"/>
  <c r="H8" i="15"/>
  <c r="I8" i="15"/>
  <c r="J8" i="15"/>
  <c r="A61" i="15"/>
  <c r="B61" i="15"/>
  <c r="D61" i="15"/>
  <c r="E61" i="15"/>
  <c r="F61" i="15"/>
  <c r="G61" i="15"/>
  <c r="H61" i="15"/>
  <c r="I61" i="15"/>
  <c r="J61" i="15"/>
  <c r="I3" i="15"/>
  <c r="I4" i="15"/>
  <c r="I5" i="15"/>
  <c r="I2" i="15"/>
  <c r="H3" i="15"/>
  <c r="H4" i="15"/>
  <c r="H5" i="15"/>
  <c r="H2" i="15"/>
  <c r="G5" i="15"/>
  <c r="G4" i="15"/>
  <c r="G3" i="15"/>
  <c r="G2" i="15"/>
  <c r="F2" i="15"/>
  <c r="J2" i="15"/>
  <c r="F3" i="15"/>
  <c r="J3" i="15"/>
  <c r="F4" i="15"/>
  <c r="J4" i="15"/>
  <c r="F5" i="15"/>
  <c r="J5" i="15"/>
  <c r="E3" i="15"/>
  <c r="E4" i="15"/>
  <c r="E5" i="15"/>
  <c r="E2" i="15"/>
  <c r="D3" i="15"/>
  <c r="D4" i="15"/>
  <c r="D5" i="15"/>
  <c r="D2" i="15"/>
  <c r="B2" i="15"/>
  <c r="BJ3" i="14" l="1"/>
  <c r="AI3" i="14" s="1"/>
  <c r="AJ3" i="14"/>
  <c r="BP3" i="14" s="1"/>
  <c r="C17" i="15"/>
  <c r="C20" i="15"/>
  <c r="C15" i="15"/>
  <c r="C21" i="15"/>
  <c r="C18" i="15"/>
  <c r="C16" i="15"/>
  <c r="C19" i="15"/>
  <c r="C6" i="15"/>
  <c r="BM3" i="14" l="1"/>
  <c r="BN3" i="14" s="1"/>
  <c r="BO3" i="14"/>
  <c r="C61" i="15"/>
  <c r="C9" i="15"/>
  <c r="C12" i="15"/>
  <c r="C10" i="15"/>
  <c r="C14" i="15"/>
  <c r="C11" i="15"/>
  <c r="C13" i="15"/>
  <c r="C22" i="15"/>
  <c r="C2" i="15"/>
  <c r="C8" i="15" l="1"/>
  <c r="C5" i="15"/>
  <c r="C3" i="15"/>
  <c r="C4" i="15"/>
  <c r="C7" i="1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<sst xmlns="http://schemas.openxmlformats.org/spreadsheetml/2006/main" count="1081" uniqueCount="773">
  <si>
    <t>INSTITUTO HONDUREÑO DE SEGURIDAD SOCIAL</t>
  </si>
  <si>
    <t>INSTRUCTIVO PARA EL LLENADO DE LA MATRIZ DE RIESGOS</t>
  </si>
  <si>
    <r>
      <t xml:space="preserve">     </t>
    </r>
    <r>
      <rPr>
        <b/>
        <sz val="11"/>
        <color indexed="62"/>
        <rFont val="Times New Roman"/>
        <family val="1"/>
      </rPr>
      <t>I.</t>
    </r>
    <r>
      <rPr>
        <b/>
        <sz val="7"/>
        <color indexed="62"/>
        <rFont val="Times New Roman"/>
        <family val="1"/>
      </rPr>
      <t xml:space="preserve">        </t>
    </r>
    <r>
      <rPr>
        <b/>
        <sz val="11"/>
        <color indexed="62"/>
        <rFont val="Times New Roman"/>
        <family val="1"/>
      </rPr>
      <t>INTRODUCCIÓN</t>
    </r>
  </si>
  <si>
    <t>La presente guía se ha elaborado para facilitar y orientar al personal de la Unidad de Riesgos, enlaces de riesgos operacionales ubicados en las diferentes dependencias del IHSS, y demás personal en la identificación, evaluación y registro de riesgos del IHSS, con base en los procesos y procedimientos institucionales, así como los que surgen en las diferentes operaciones, transacciones y actividades que se desarrollan.</t>
  </si>
  <si>
    <t>Se pretende describir los principales riesgos que pueden presentarse en los diferentes procesos y/o procedimientos operativos de cada uno de los regímenes del IHSS y áreas de la administración central.</t>
  </si>
  <si>
    <t>Cada Gerente, Subgerente o Jefe debe administrar los principales procesos y procedimientos operativos que se ejecutan en las áreas que dirigen, de manera periódica debe mantener comunicación cercana con el Departamento de Organizaciones y Métodos con el propósito de conocer el portafolio de procesos y procedimientos correspondientes.</t>
  </si>
  <si>
    <t>Es importante destacar que los procesos y procedimientos deben estar actualizados, es decir que considere los cambios tecnológicos, legales, normativos y otros factores internos o externos que pueden afectarlos.</t>
  </si>
  <si>
    <r>
      <t xml:space="preserve">     </t>
    </r>
    <r>
      <rPr>
        <b/>
        <sz val="11"/>
        <color indexed="62"/>
        <rFont val="Times New Roman"/>
        <family val="1"/>
      </rPr>
      <t>II.</t>
    </r>
    <r>
      <rPr>
        <b/>
        <sz val="7"/>
        <color indexed="62"/>
        <rFont val="Times New Roman"/>
        <family val="1"/>
      </rPr>
      <t xml:space="preserve">        </t>
    </r>
    <r>
      <rPr>
        <b/>
        <sz val="11"/>
        <color indexed="62"/>
        <rFont val="Times New Roman"/>
        <family val="1"/>
      </rPr>
      <t>OBJETIVO</t>
    </r>
  </si>
  <si>
    <t>Diseñar las diferentes consideraciones que faciliten a la Unidad de Gestión de Riesgos, diferentes áreas y enlaces de riesgos operacionales autorizados, la identificación, evaluación y medición de los diferentes riesgos operativos, tecnológicos y legales, con un llenado adecuado del formato de matriz de riesgos oficial; incluyendo la forma de documentar controles preventivos, detectivos y correctivos y la mecánica de cálculo automático del Valor del Riesgo Residual.</t>
  </si>
  <si>
    <r>
      <t xml:space="preserve">     </t>
    </r>
    <r>
      <rPr>
        <b/>
        <sz val="11"/>
        <color indexed="62"/>
        <rFont val="Times New Roman"/>
        <family val="1"/>
      </rPr>
      <t>III.</t>
    </r>
    <r>
      <rPr>
        <b/>
        <sz val="7"/>
        <color indexed="62"/>
        <rFont val="Times New Roman"/>
        <family val="1"/>
      </rPr>
      <t xml:space="preserve">        </t>
    </r>
    <r>
      <rPr>
        <b/>
        <sz val="11"/>
        <color indexed="62"/>
        <rFont val="Times New Roman"/>
        <family val="1"/>
      </rPr>
      <t>CONCEPTOS BÁSICOS SOBRE RIESGOS Y GENERALIDADES DEL FORMATO DE LA MATRIZ DE RIESGOS DEL IHSS</t>
    </r>
  </si>
  <si>
    <r>
      <t>Se entiende por</t>
    </r>
    <r>
      <rPr>
        <b/>
        <sz val="11"/>
        <rFont val="Times New Roman"/>
        <family val="1"/>
      </rPr>
      <t xml:space="preserve"> riesgo</t>
    </r>
    <r>
      <rPr>
        <sz val="11"/>
        <rFont val="Times New Roman"/>
        <family val="1"/>
      </rPr>
      <t xml:space="preserve">, la posibilidad de que un evento ocurra que tendría un impacto negativo en la consecución de los objetivos (de la persona, empresa o institución); y, por </t>
    </r>
    <r>
      <rPr>
        <b/>
        <sz val="11"/>
        <rFont val="Times New Roman"/>
        <family val="1"/>
      </rPr>
      <t>control</t>
    </r>
    <r>
      <rPr>
        <sz val="11"/>
        <rFont val="Times New Roman"/>
        <family val="1"/>
      </rPr>
      <t>, las políticas, normas, procedimientos, instructivos y otras acciones para prevenir, detectar o corregir riesgos.</t>
    </r>
  </si>
  <si>
    <r>
      <t xml:space="preserve">En el proceso de gestión de los riesgos, es necesaria la intervención de </t>
    </r>
    <r>
      <rPr>
        <b/>
        <sz val="11"/>
        <rFont val="Times New Roman"/>
        <family val="1"/>
      </rPr>
      <t>TODOS</t>
    </r>
    <r>
      <rPr>
        <sz val="11"/>
        <rFont val="Times New Roman"/>
        <family val="1"/>
      </rPr>
      <t xml:space="preserve"> los empleados del IHSS que participan de las diferentes fases de los procesos, ya que conocen su funcionamiento y deben orientar el desarrollo de dicha gestión.</t>
    </r>
  </si>
  <si>
    <t xml:space="preserve">La plantilla del formato de matriz de riesgos cuentas con diferentes columnas de información los cuales deben llenarse, por esta razón el personal de la Unidad de Gestión de Riesgos, enlaces de riesgos operacional u otro personal debe tener en cuenta las siguientes generalidades: </t>
  </si>
  <si>
    <t>1. La plantilla consta de cuatro hojas:</t>
  </si>
  <si>
    <r>
      <t>a) Instructivo</t>
    </r>
    <r>
      <rPr>
        <sz val="11"/>
        <rFont val="Times New Roman"/>
        <family val="1"/>
      </rPr>
      <t xml:space="preserve"> (Instrucciones sobre el llenado de la matriz de riesgos)</t>
    </r>
  </si>
  <si>
    <r>
      <t xml:space="preserve">b) Matriz Consolidada </t>
    </r>
    <r>
      <rPr>
        <sz val="11"/>
        <rFont val="Times New Roman"/>
        <family val="1"/>
      </rPr>
      <t>(registro por riesgo).</t>
    </r>
  </si>
  <si>
    <r>
      <t>c) Otras tablas</t>
    </r>
    <r>
      <rPr>
        <sz val="11"/>
        <rFont val="Times New Roman"/>
        <family val="1"/>
      </rPr>
      <t xml:space="preserve"> (Definiciones de controles por riesgo).</t>
    </r>
  </si>
  <si>
    <r>
      <t>d) Listas</t>
    </r>
    <r>
      <rPr>
        <sz val="11"/>
        <rFont val="Times New Roman"/>
        <family val="1"/>
      </rPr>
      <t xml:space="preserve"> (tablas de respaldo para validaciones y listas desplegables).</t>
    </r>
  </si>
  <si>
    <t>2. Convenciones de captura de acuerdo al color de las columnas (leyenda):</t>
  </si>
  <si>
    <t>Celdas en color blanco: Ingreso manual.</t>
  </si>
  <si>
    <t>Celdas en color oro claro: Listas desplegables (valores predefinidos)</t>
  </si>
  <si>
    <t>Celdas en color verde claro: Cálculo automático, estas celdas no se pueden modificar.</t>
  </si>
  <si>
    <t>Celdas en color azul claro: Uso exclusivo para riesgos de tipo tecnológico.</t>
  </si>
  <si>
    <r>
      <t xml:space="preserve">3. En la </t>
    </r>
    <r>
      <rPr>
        <b/>
        <sz val="11"/>
        <rFont val="Times New Roman"/>
        <family val="1"/>
      </rPr>
      <t>Matriz Consolidada,</t>
    </r>
    <r>
      <rPr>
        <sz val="11"/>
        <rFont val="Times New Roman"/>
        <family val="1"/>
      </rPr>
      <t xml:space="preserve"> el campo “Riesgo Residual” reproducirá exactamente la misma redacción del “Riesgo Inherente”, conforme a la pauta ya establecida en el Manual. El cálculo asociado se refleja únicamente en el campo “Valor del Riesgo Residual”. </t>
    </r>
  </si>
  <si>
    <r>
      <t xml:space="preserve">    </t>
    </r>
    <r>
      <rPr>
        <b/>
        <sz val="11"/>
        <color indexed="62"/>
        <rFont val="Times New Roman"/>
        <family val="1"/>
      </rPr>
      <t>IV.</t>
    </r>
    <r>
      <rPr>
        <b/>
        <sz val="7"/>
        <color indexed="62"/>
        <rFont val="Times New Roman"/>
        <family val="1"/>
      </rPr>
      <t xml:space="preserve">        </t>
    </r>
    <r>
      <rPr>
        <b/>
        <sz val="11"/>
        <color indexed="62"/>
        <rFont val="Times New Roman"/>
        <family val="1"/>
      </rPr>
      <t>INSUMOS O ENTRADAS:</t>
    </r>
  </si>
  <si>
    <t>Los principales insumos para la gestión de riesgos son los objetivos institucionales vigentes, procesos y procedimientos, normativas aplicables, evidencias de operación de controles y registros de incidentes.</t>
  </si>
  <si>
    <r>
      <t xml:space="preserve">  </t>
    </r>
    <r>
      <rPr>
        <b/>
        <sz val="11"/>
        <color indexed="62"/>
        <rFont val="Times New Roman"/>
        <family val="1"/>
      </rPr>
      <t>V.</t>
    </r>
    <r>
      <rPr>
        <b/>
        <sz val="7"/>
        <color indexed="62"/>
        <rFont val="Times New Roman"/>
        <family val="1"/>
      </rPr>
      <t xml:space="preserve">        </t>
    </r>
    <r>
      <rPr>
        <b/>
        <sz val="11"/>
        <color indexed="62"/>
        <rFont val="Times New Roman"/>
        <family val="1"/>
      </rPr>
      <t>DOCUMENTOS DE REFERENCIA:</t>
    </r>
  </si>
  <si>
    <t>Manual de Gestión Integral de Riesgos del IHSS</t>
  </si>
  <si>
    <t>Reporte de eventos de riesgos</t>
  </si>
  <si>
    <t>Procedimiento de Monitoreo de Controles</t>
  </si>
  <si>
    <r>
      <t xml:space="preserve">  </t>
    </r>
    <r>
      <rPr>
        <b/>
        <sz val="11"/>
        <color indexed="62"/>
        <rFont val="Times New Roman"/>
        <family val="1"/>
      </rPr>
      <t>VI.</t>
    </r>
    <r>
      <rPr>
        <b/>
        <sz val="7"/>
        <color indexed="62"/>
        <rFont val="Times New Roman"/>
        <family val="1"/>
      </rPr>
      <t xml:space="preserve">        </t>
    </r>
    <r>
      <rPr>
        <b/>
        <sz val="11"/>
        <color indexed="62"/>
        <rFont val="Times New Roman"/>
        <family val="1"/>
      </rPr>
      <t>DESCRIPCIÓN E INSTRUCCIONES PARA EL LLENADO DE LOS CAMPOS DE LA MATRIZ:</t>
    </r>
  </si>
  <si>
    <t>Para facilitar el llenado del formato de matriz de riesgos se establecen diferentes instrucciones y pasos a seguir para aplicarse y facilitar la evaluación de los riesgos. La Matriz de Riesgos está compuesta por distintos campos de información, es importante señalar que, para el caso de las matrices de riesgos tecnológicos el formato de matrices de riesgos contara con 3 columnas adicionales a las que se describen en este apartado estas son: amenazas, vulnerabilidades y los activos de información. 
A continuación, se describe la información correspondiente a cada columna:</t>
  </si>
  <si>
    <t>No.:</t>
  </si>
  <si>
    <t>Todos los riesgos deben enumerarse desde 1 hasta la cantidad de riesgos que identifique cada uno de los Regímenes, áreas administrativas a nivel central, región norte y otras regiones donde el IHSS presenta servicios. (ejemplo, 1,2,3,4,5, 6...1000 etc.).</t>
  </si>
  <si>
    <t>Código del Riesgo:</t>
  </si>
  <si>
    <t>Llenado automático. Se codifica siguiendo la convención institucional por tipo de riesgo, área/régimen y número secuencial. Ejemplo: RO-GTIC-01, RO-GTIC-02</t>
  </si>
  <si>
    <t>Tipo de Riesgo:</t>
  </si>
  <si>
    <t xml:space="preserve">Selección manual. Seleccionar el tipo de riesgo: Operativo, Legal o Tecnológico. </t>
  </si>
  <si>
    <t>Proceso / Procedimiento:</t>
  </si>
  <si>
    <t xml:space="preserve">Escribir el proceso o procedimiento que se ve afectado por el riesgo que se evalúa. Se debe considerar contar con las políticas, procesos y procedimientos aplicables al área actualizados. </t>
  </si>
  <si>
    <t>Objetivos estratégicos:</t>
  </si>
  <si>
    <t>De acuerdo al PEI se debe Especificar el Objetivo estratégico institucional que se ve afectado por el riesgo identificado.</t>
  </si>
  <si>
    <t>Riesgo Inherente:</t>
  </si>
  <si>
    <t>Se escribe el nombre del riesgo. Estos se identificarán y evaluarán de sus principales procesos/ procedimientos con respecto a:
•	Aquellos relacionados a operaciones no autorizadas, extravíos de bienes, uso indebido de facultades y poderes, operaciones no reveladas entre otras.
•	Errores o fallas relacionadas a los servicios, modelos, otorgamiento de beneficios a derecho habientes, pensionados, jubilados, así como errores en; contratos y en el registro de datos u operaciones.
•	Errores contables, errores en procesos, información o datos incompletos o inexistentes.
Se escribe el nombre del riesgo. Estos se identificarán y evaluarán de sus principales procesos/ procedimientos con respecto a:
•	Aquellos relacionados a operaciones no autorizadas, extravíos de bienes, uso indebido de facultades y poderes, operaciones no reveladas entre otras.
•	Errores o fallas relacionadas a los servicios, modelos, otorgamiento de beneficios a derecho habientes, pensionados, jubilados, así como errores en; contratos y en el registro de datos u operaciones.
•	Errores contables, errores en procesos, información o datos incompletos o inexistentes 
•	Incumplimiento de plazos o responsabilidades regulatorias, normativas, contractuales o legales.
•	Debilidades en la Seguridad de los Sistemas de Información de los regímenes.
•	Daños o debilidades en la protección de loa activos físicos de los regímenes y áreas de la administración central.
•	Registros incorrectos en operaciones de los patronos, derechohabientes y los proveedores.
•	Fallas en; hardware, en software, medios de almacenamiento, telecomunicaciones y energía.
•	Divulgación de información, practicas improcedentes, servicios defectuosos.
•	Mantenimiento oportuno para reanudar las interrupciones provocadas respecto al funcionamiento de sistemas, hardware que permitan la continuidad de los servicios prestados a los derechohabientes en los diferentes regímenes.
•	Probables Incumplimiento con los elementos del control interno institucional y normativa de la CNBS, así como de otras leyes y reglamentación aplicables. 
•	Debilidades o deficiencias en los principales procesos de las áreas con mayor exposición al riesgo 
•	Otros Riesgos Operacionales que afecten los objetivos estratégicos de los regímenes y áreas de la administración Central del IHSS.</t>
  </si>
  <si>
    <t>En materia tecnológica aquellos riesgos relacionados a las posibilidades de escenarios relacionados a:
•	Vulneración de los sistemas de información, ataques informáticos o ciberataques, robo de información, uso de claves de accesos y niveles de autorización de manera inadecuada.
•	Códigos dañinos, errores humanos, denegación de servicios, interrupción de servicios, intrusiones externas, acceso no autorizado a la información, modificación y borrado de la información, incumplimientos a políticas de seguridad entre otros escenarios de riesgos posibles.</t>
  </si>
  <si>
    <t>En materia Legal lo riesgos relacionados a escenarios respecto a:
•	Litigios con proveedores, demandas de tipo laboral, otros escenarios de demandas.</t>
  </si>
  <si>
    <t>Tomar en consideración las actividades críticas identificadas en las de sus principales procesos.
Es importante tomar en cuenta el entorno interno y externo donde opera cada Régimen o área administrativa sea a nivel central o de otras regiones donde el IHSS presta servicios a sus derechohabientes o beneficiarios.
Cada Director, Gerente, Subgerente, Jefe de Unidad o personal de apoyo debe considerar el riesgo al que esta expuestas los edificios o instalaciones físicas relacionados con los eventos de riesgos y su cercanía a zonas costeras, ríos, fallas geológicas, gasolineras, por otro lado, tomar en cuenta situaciones internas propios de los edificios que pueden detonar riesgos de interrupción de actividades por alguna debilidad que pueda presentar los mismos si este fuera el caso.</t>
  </si>
  <si>
    <t>Evaluación:</t>
  </si>
  <si>
    <r>
      <t xml:space="preserve">Está compuesta por los siguientes 3 apartados:
•	</t>
    </r>
    <r>
      <rPr>
        <b/>
        <sz val="11"/>
        <rFont val="Times New Roman"/>
        <family val="1"/>
      </rPr>
      <t xml:space="preserve">Descripción: </t>
    </r>
    <r>
      <rPr>
        <sz val="11"/>
        <rFont val="Times New Roman"/>
        <family val="1"/>
      </rPr>
      <t>se debe detallar el riesgo identificado, justificando la existencia del riesgo, Planteamiento de visión de futuro acerca de la situación del riesgo, es importante que se pueda consultar reportes del sistema de información, log, consultas al sistema, otros registros, que facilite la descripción de la situación o la experiencia del personal del área en la que se está evaluando el riesgo.</t>
    </r>
  </si>
  <si>
    <r>
      <t xml:space="preserve">•	</t>
    </r>
    <r>
      <rPr>
        <b/>
        <sz val="11"/>
        <rFont val="Times New Roman"/>
        <family val="1"/>
      </rPr>
      <t xml:space="preserve">Causas: </t>
    </r>
    <r>
      <rPr>
        <sz val="11"/>
        <rFont val="Times New Roman"/>
        <family val="1"/>
      </rPr>
      <t>describir los factores, situaciones o condiciones que originaron el riesgo identificado. Algunos ejemplos de causas que pueden ocasionar riesgos pueden ser: controles inexistentes, falta de supervisión u omisión de revisión o validaciones, ausencia de segregación de deberes, controles no operando o sin funcionamiento, mal diseño de procesos o ineficientes, eventos externos, documentos inadecuados o inexistentes, errores en procesos de conciliación, errores de cálculo, falta de capacitación, negligencia, ausencia de monitoreo de requisitos legales o regulatorios, cambios regulatorios no implementados oportunamente o pasados por alto o no tomados en cuenta, carencia de comunicación interdepartamental o entre las áreas, inexistencia de canales de denuncia, cultura que tolera riesgos, conflictos de interés, carencia de capacitación continuada con el código de ética del IHSS, Tercerización de servicios con falta de supervisión, monitoreo o carencia de evaluación de desempeño periódico. Incumplimiento de parte de proveedores no gestionados, contratos outsourcing no actualizados o con evaluación de desempeño, alta concentración de proveedores o proveedor único. 
Aquí solo se muestras algunos ejemplos, sin embargo, el riesgo operativo por proceso identificado indicara las principales causas posibles de manera puntual.</t>
    </r>
  </si>
  <si>
    <r>
      <t xml:space="preserve">•	</t>
    </r>
    <r>
      <rPr>
        <b/>
        <sz val="11"/>
        <rFont val="Times New Roman"/>
        <family val="1"/>
      </rPr>
      <t>Efectos:</t>
    </r>
    <r>
      <rPr>
        <sz val="11"/>
        <rFont val="Times New Roman"/>
        <family val="1"/>
      </rPr>
      <t xml:space="preserve"> describir las consecuencias o impactos que puede generar la materialización del riesgo. Algunos ejemplos son: Pérdidas financieras, daños a la reputación, multas y sanciones, interrupción del negocio y sus principales servicios o operaciones, desconfianza del público en general, interrupción de la cadena de suministro, interrupción o retraso en la distribución de medicamentos, seguridad de los sistemas comprometida, exposición de datos de derechohabientes, empleados, patronos o proveedores, deficientes desempeño operativo o estratégico, daños a la infraestructura, Interrupción en la captación de ingresos, incremento de costos operativos, incremento por gastos por litigios, incremento de costos por defensa legal, perdidas de inversiones en tecnología, imagen pública negativa, pérdida de confianza del derecho habiente, investigaciones regulatorias, incremento de costos de remediación y corrección, paralización operativa, afectación de la cadena de suministros. Incapacidad para cumplir con plazos y compromisos, perdida de datos críticos, caída de sistemas clave, exposición a ciberataque futuros, obsolescencia tecnológica, mayor rotación de personal, conflictos de interés o internos.
•	Todo lo anterior solamente son algunos ejemplos, sin embargo, la causa y efecto puntual de riesgos será determinado por el dueño del proceso y los que operan los controles con el soporte del Jefe inmediato y el enlace de riesgo operacional.</t>
    </r>
  </si>
  <si>
    <t xml:space="preserve">Frecuencia (probabilidad): </t>
  </si>
  <si>
    <t>Toma valores del 1 al 5 y se selecciona de la lista aprobada, de acuerdo a la siguiente tabla:</t>
  </si>
  <si>
    <t>Impacto:</t>
  </si>
  <si>
    <t>Valor del Riesgo Inherente:</t>
  </si>
  <si>
    <t>Se calcula de forma automática como:
Valor del Riesgo Inherente = Frecuencia + Impacto – 1</t>
  </si>
  <si>
    <t>Nivel del Riesgo Inherente:</t>
  </si>
  <si>
    <t>Campo que se actualiza de forma automática. Se determina conforme a la siguiente tabla:</t>
  </si>
  <si>
    <t>Responsable o dueño del riesgo:</t>
  </si>
  <si>
    <t xml:space="preserve">Escribir e indicar el área o régimen responsable. </t>
  </si>
  <si>
    <t>Régimen afectado:</t>
  </si>
  <si>
    <t>Seleccionar el régimen que se ve afectado por el riesgo evaluado.</t>
  </si>
  <si>
    <t>Transversalidad o interrelación con otros riesgos:</t>
  </si>
  <si>
    <t>Completar según corresponda con los riesgos que se relaciona.</t>
  </si>
  <si>
    <t>Amenazas:</t>
  </si>
  <si>
    <t>Exclusiva para riesgos de tipo tecnológico. Especificar los eventos, acciones o incidentes potenciales que podrían afectar la confidencialidad, integridad o disponibilidad de los activos de la información</t>
  </si>
  <si>
    <t>Vulnerabilidades:</t>
  </si>
  <si>
    <t>Exclusiva para riesgos de tipo tecnológico. Anotar las debilidades, fallos o carencias en los activos, procesos o controles que pueden ser aprovechadas por una amenaza para materializar un riesgo</t>
  </si>
  <si>
    <t>Activos de Información:</t>
  </si>
  <si>
    <t>Exclusiva para riesgos de tipo tecnológico. Identificar y describir los recursos de información, tecnológicos o de infraestructura que requieren protección (ejemplo: sistemas, bases de datos, redes, equipos, aplicaciones, personal o conocimiento</t>
  </si>
  <si>
    <r>
      <t xml:space="preserve">   </t>
    </r>
    <r>
      <rPr>
        <b/>
        <sz val="11"/>
        <color indexed="62"/>
        <rFont val="Times New Roman"/>
        <family val="1"/>
      </rPr>
      <t>VII.</t>
    </r>
    <r>
      <rPr>
        <b/>
        <sz val="7"/>
        <color indexed="62"/>
        <rFont val="Times New Roman"/>
        <family val="1"/>
      </rPr>
      <t xml:space="preserve">        </t>
    </r>
    <r>
      <rPr>
        <b/>
        <sz val="11"/>
        <color indexed="62"/>
        <rFont val="Times New Roman"/>
        <family val="1"/>
      </rPr>
      <t>REGISTRO DE CONTROLES POR TIPO</t>
    </r>
  </si>
  <si>
    <t>Para cada riesgo, documentar los controles existentes por tipo para la mitigación de los riesgos identificados, estos tipos de controles son:</t>
  </si>
  <si>
    <t>Preventivo:</t>
  </si>
  <si>
    <t>Control Interno utilizado para evitar que eventos no deseados, errores y otras ocurrencias.</t>
  </si>
  <si>
    <t>Detectivo:</t>
  </si>
  <si>
    <t>Diseñados para detectar y reportar cuando los errores, omisiones, usos no autorizados o registros ocurren.</t>
  </si>
  <si>
    <t>Correctivo:</t>
  </si>
  <si>
    <t>Diseñados para corregir errores, omisiones y usos no autorizados una vez que son detectados.</t>
  </si>
  <si>
    <t>Descripción (por cada tipo de control):</t>
  </si>
  <si>
    <t xml:space="preserve">Se detalla el control con el que se cuenta en el área para gestionar el riesgo que se ha identificado, cabe señalar que cuando haya varios controles del mismo tipo: describir todos los controles en esta columna y seleccionar un único nivel de la escala que refleje su efecto combinado sobre el riesgo. Cuando no existan controles de un tipo para el riesgo, en la descripción se consignará “No hay”. </t>
  </si>
  <si>
    <t>Escala de efectividad:</t>
  </si>
  <si>
    <t>Se debe seleccionar de acuerdo al tipo de control que se esté evaluando, se selecciona de la lista despegable; misma que se encuentra conformada de la siguiente manera:</t>
  </si>
  <si>
    <t>Inexistente:</t>
  </si>
  <si>
    <t>Se utiliza cuando no hay controles del tipo correspondiente; la descripción consignará “No hay”.</t>
  </si>
  <si>
    <t>Inefectivo:</t>
  </si>
  <si>
    <t>Existe control, pero no funciona o no mitiga.</t>
  </si>
  <si>
    <t>Razonable:</t>
  </si>
  <si>
    <t>Existen debilidades en el diseño e implementación de control y requieren modificaciones importantes para su mejoramiento, o están parcialmente de acuerdo con normativa, no están socializados e implementados. Los controles reducen la probabilidad e impacto de en un 30%.</t>
  </si>
  <si>
    <t>Parcialmente efectivo:</t>
  </si>
  <si>
    <t>Se realizan actividades de control que permiten mitigar el riesgo de manera parcial, están aprobados y socializados, pero no están totalmente implementados. Los controles reducen la probabilidad e impacto en un 50%.</t>
  </si>
  <si>
    <t>Moderado:</t>
  </si>
  <si>
    <t>Se realizan actividades de control que permiten administrar o mitigar los riesgos, existen situaciones que los controles no mitigan los riesgos en un nivel bajo respecto a las causas de su probabilidad de ocurrencia, sin embargo, los controles reducen la probabilidad e impacto en un 85%.</t>
  </si>
  <si>
    <t>Alta efectividad:</t>
  </si>
  <si>
    <t>Se realizan actividades control que permiten mitigar o administrar los riesgos y sus causas, los controles reducen la probabilidad e impacto en un 90%.</t>
  </si>
  <si>
    <t>Nivel de efectividad de controles:</t>
  </si>
  <si>
    <t>El campo es llenado de forma automática una vez seleccionada la escala. Este campo toma valores de 0 al 5 según lo definido en Procedimiento de Controles de Riesgos.</t>
  </si>
  <si>
    <t>% de efectividad de controles:</t>
  </si>
  <si>
    <t>El campo es llenado de forma automática una vez seleccionada la escala. Este campo toma valores de 0% al 90% según lo definido en Procedimiento de Controles de Riesgos.</t>
  </si>
  <si>
    <t>Nivel de Automatización de los Controles:</t>
  </si>
  <si>
    <t>Se seleccionará de la lista desplegable entre Automatizado, Semi-automatizado o Manual.</t>
  </si>
  <si>
    <r>
      <t xml:space="preserve">   </t>
    </r>
    <r>
      <rPr>
        <b/>
        <sz val="11"/>
        <color indexed="62"/>
        <rFont val="Times New Roman"/>
        <family val="1"/>
      </rPr>
      <t>VIII.</t>
    </r>
    <r>
      <rPr>
        <b/>
        <sz val="7"/>
        <color indexed="62"/>
        <rFont val="Times New Roman"/>
        <family val="1"/>
      </rPr>
      <t xml:space="preserve">        </t>
    </r>
    <r>
      <rPr>
        <b/>
        <sz val="11"/>
        <color indexed="62"/>
        <rFont val="Times New Roman"/>
        <family val="1"/>
      </rPr>
      <t>EFECTIVIDAD TOTAL PONDERADA Y CÁLCULO DEL RESIDUAL</t>
    </r>
  </si>
  <si>
    <r>
      <rPr>
        <b/>
        <sz val="11"/>
        <color rgb="FF000000"/>
        <rFont val="Times New Roman"/>
        <family val="1"/>
      </rPr>
      <t xml:space="preserve">Efectividad Total Ponderada de los Controles (ETP): </t>
    </r>
    <r>
      <rPr>
        <sz val="11"/>
        <color rgb="FF000000"/>
        <rFont val="Times New Roman"/>
        <family val="1"/>
      </rPr>
      <t>Se calcula automáticamente con la expresión:</t>
    </r>
    <r>
      <rPr>
        <b/>
        <sz val="11"/>
        <color rgb="FF000000"/>
        <rFont val="Times New Roman"/>
        <family val="1"/>
      </rPr>
      <t xml:space="preserve">
ETP= 0.70 x EP + 0.15 x ED + 0.15 x EC</t>
    </r>
    <r>
      <rPr>
        <sz val="11"/>
        <color rgb="FF000000"/>
        <rFont val="Times New Roman"/>
        <family val="1"/>
      </rPr>
      <t xml:space="preserve">,
donde EP, ED y EC son los </t>
    </r>
    <r>
      <rPr>
        <b/>
        <sz val="11"/>
        <color rgb="FF000000"/>
        <rFont val="Times New Roman"/>
        <family val="1"/>
      </rPr>
      <t>porcentajes</t>
    </r>
    <r>
      <rPr>
        <sz val="11"/>
        <color rgb="FF000000"/>
        <rFont val="Times New Roman"/>
        <family val="1"/>
      </rPr>
      <t xml:space="preserve"> de efectividad de los controles preventivo, detectivo y correctivo registrados en la fila del riesgo.</t>
    </r>
  </si>
  <si>
    <r>
      <t xml:space="preserve">Las ponderaciones </t>
    </r>
    <r>
      <rPr>
        <b/>
        <sz val="11"/>
        <color rgb="FF000000"/>
        <rFont val="Times New Roman"/>
        <family val="1"/>
      </rPr>
      <t xml:space="preserve">no se redistribuyen </t>
    </r>
    <r>
      <rPr>
        <sz val="11"/>
        <color rgb="FF000000"/>
        <rFont val="Times New Roman"/>
        <family val="1"/>
      </rPr>
      <t>cuando un tipo de control no exista; en ese caso su % corresponderá a 0% por haber seleccionado la Escala Inexistente.</t>
    </r>
  </si>
  <si>
    <r>
      <rPr>
        <b/>
        <sz val="11"/>
        <color rgb="FF000000"/>
        <rFont val="Times New Roman"/>
        <family val="1"/>
      </rPr>
      <t xml:space="preserve">Riesgo Residual: </t>
    </r>
    <r>
      <rPr>
        <sz val="11"/>
        <color rgb="FF000000"/>
        <rFont val="Times New Roman"/>
        <family val="1"/>
      </rPr>
      <t xml:space="preserve">Este campo se llena de forma automática. Se consigna el mismo texto del campo </t>
    </r>
    <r>
      <rPr>
        <b/>
        <sz val="11"/>
        <color rgb="FF000000"/>
        <rFont val="Times New Roman"/>
        <family val="1"/>
      </rPr>
      <t>Riesgo Inherente</t>
    </r>
    <r>
      <rPr>
        <sz val="11"/>
        <color rgb="FF000000"/>
        <rFont val="Times New Roman"/>
        <family val="1"/>
      </rPr>
      <t>.</t>
    </r>
  </si>
  <si>
    <r>
      <rPr>
        <b/>
        <sz val="11"/>
        <color theme="1"/>
        <rFont val="Times New Roman"/>
        <family val="1"/>
      </rPr>
      <t xml:space="preserve">Frecuencia Residual (FR): </t>
    </r>
    <r>
      <rPr>
        <sz val="11"/>
        <color theme="1"/>
        <rFont val="Times New Roman"/>
        <family val="1"/>
      </rPr>
      <t xml:space="preserve">Se calcula de forma automática como un valor entero entre 1 y la Frecuencia inherente, representando la frecuencia del riesgo después del efecto de los controles.
</t>
    </r>
    <r>
      <rPr>
        <b/>
        <sz val="11"/>
        <color theme="1"/>
        <rFont val="Times New Roman"/>
        <family val="1"/>
      </rPr>
      <t>FR=(1-ETP) x Frecuencia (*)</t>
    </r>
  </si>
  <si>
    <r>
      <rPr>
        <b/>
        <sz val="11"/>
        <color theme="1"/>
        <rFont val="Times New Roman"/>
        <family val="1"/>
      </rPr>
      <t xml:space="preserve">Impacto Residual (FR): </t>
    </r>
    <r>
      <rPr>
        <sz val="11"/>
        <color theme="1"/>
        <rFont val="Times New Roman"/>
        <family val="1"/>
      </rPr>
      <t xml:space="preserve">Se calcula de forma automática como un valor entero entre 1 y el Impacto inherente, representando el impacto del riesgo después del efecto de los controles.
</t>
    </r>
    <r>
      <rPr>
        <b/>
        <sz val="11"/>
        <color theme="1"/>
        <rFont val="Times New Roman"/>
        <family val="1"/>
      </rPr>
      <t>IR=(1-ETP) x Impacto (*)</t>
    </r>
  </si>
  <si>
    <r>
      <t xml:space="preserve">Valor del Riesgo Residual: </t>
    </r>
    <r>
      <rPr>
        <sz val="11"/>
        <color rgb="FF000000"/>
        <rFont val="Times New Roman"/>
        <family val="1"/>
      </rPr>
      <t>Se calcula automáticamente:</t>
    </r>
    <r>
      <rPr>
        <b/>
        <sz val="11"/>
        <color rgb="FF000000"/>
        <rFont val="Times New Roman"/>
        <family val="1"/>
      </rPr>
      <t xml:space="preserve">
Valor del Riesgo Residual = Valor del Riesgo Inherente x (1- ETP)</t>
    </r>
    <r>
      <rPr>
        <sz val="11"/>
        <color rgb="FF000000"/>
        <rFont val="Times New Roman"/>
        <family val="1"/>
      </rPr>
      <t>.</t>
    </r>
    <r>
      <rPr>
        <b/>
        <sz val="11"/>
        <color rgb="FF000000"/>
        <rFont val="Times New Roman"/>
        <family val="1"/>
      </rPr>
      <t xml:space="preserve">
</t>
    </r>
    <r>
      <rPr>
        <sz val="11"/>
        <color rgb="FF000000"/>
        <rFont val="Times New Roman"/>
        <family val="1"/>
      </rPr>
      <t xml:space="preserve">Adicionalmente, por construcción de las reglas de redondeo y asignación, se cumple la identidad:
</t>
    </r>
    <r>
      <rPr>
        <b/>
        <sz val="11"/>
        <color rgb="FF000000"/>
        <rFont val="Times New Roman"/>
        <family val="1"/>
      </rPr>
      <t>VRR = FR+IR-1</t>
    </r>
  </si>
  <si>
    <r>
      <t xml:space="preserve">El Valor del Riesgo Residual </t>
    </r>
    <r>
      <rPr>
        <b/>
        <sz val="11"/>
        <color rgb="FF000000"/>
        <rFont val="Times New Roman"/>
        <family val="1"/>
      </rPr>
      <t>no podrá ser inferior a 1</t>
    </r>
    <r>
      <rPr>
        <sz val="11"/>
        <color rgb="FF000000"/>
        <rFont val="Times New Roman"/>
        <family val="1"/>
      </rPr>
      <t xml:space="preserve">; si el cálculo arroja un valor menor, se registrará el valor de </t>
    </r>
    <r>
      <rPr>
        <b/>
        <sz val="11"/>
        <color rgb="FF000000"/>
        <rFont val="Times New Roman"/>
        <family val="1"/>
      </rPr>
      <t>1</t>
    </r>
    <r>
      <rPr>
        <sz val="11"/>
        <color rgb="FF000000"/>
        <rFont val="Times New Roman"/>
        <family val="1"/>
      </rPr>
      <t xml:space="preserve"> como mínimo interno establecido.</t>
    </r>
  </si>
  <si>
    <r>
      <t xml:space="preserve">El </t>
    </r>
    <r>
      <rPr>
        <b/>
        <sz val="11"/>
        <color theme="1"/>
        <rFont val="Times New Roman"/>
        <family val="1"/>
      </rPr>
      <t>Nivel del Riesgo Residual</t>
    </r>
    <r>
      <rPr>
        <sz val="11"/>
        <color theme="1"/>
        <rFont val="Times New Roman"/>
        <family val="1"/>
      </rPr>
      <t xml:space="preserve"> se determina automáticamente según el manual de Gestión Integral de Riesgos.</t>
    </r>
  </si>
  <si>
    <r>
      <rPr>
        <b/>
        <sz val="11"/>
        <color theme="1"/>
        <rFont val="Times New Roman"/>
        <family val="1"/>
      </rPr>
      <t>(*):</t>
    </r>
    <r>
      <rPr>
        <sz val="11"/>
        <color theme="1"/>
        <rFont val="Times New Roman"/>
        <family val="1"/>
      </rPr>
      <t xml:space="preserve"> Para mantener la igualdad entre el Valor del Riesgo Residual por construcción y el Valor del Riesgo Residual Redondeado de la Matriz que va acorde con la metodología de riesgos y considerando la parte decimal de la Frecuencia e Impacto Residual, así como el mínimo normativo de 1 para cada valor (FR, IR, VRR), más el efecto de la ETP, estos valores (Frecuencia e Impacto Residual) se ajustan tomando estas consideraciones. Revisar la nota técnica adjunta para un mayor detalle de dicha formulación.</t>
    </r>
  </si>
  <si>
    <r>
      <t xml:space="preserve">   </t>
    </r>
    <r>
      <rPr>
        <b/>
        <sz val="11"/>
        <color indexed="62"/>
        <rFont val="Times New Roman"/>
        <family val="1"/>
      </rPr>
      <t>IX.</t>
    </r>
    <r>
      <rPr>
        <b/>
        <sz val="7"/>
        <color indexed="62"/>
        <rFont val="Times New Roman"/>
        <family val="1"/>
      </rPr>
      <t xml:space="preserve">        </t>
    </r>
    <r>
      <rPr>
        <b/>
        <sz val="11"/>
        <color indexed="62"/>
        <rFont val="Times New Roman"/>
        <family val="1"/>
      </rPr>
      <t>RESPUESTA AL RIESGO</t>
    </r>
  </si>
  <si>
    <r>
      <t xml:space="preserve">La respuesta se selecciona entre las cuatro categorías institucionales: </t>
    </r>
    <r>
      <rPr>
        <b/>
        <sz val="11"/>
        <rFont val="Times New Roman"/>
        <family val="1"/>
      </rPr>
      <t>Reducir, Aceptar, Transferir o Evitar,</t>
    </r>
    <r>
      <rPr>
        <sz val="11"/>
        <rFont val="Times New Roman"/>
        <family val="1"/>
      </rPr>
      <t xml:space="preserve"> de acuerdo con el Manual.</t>
    </r>
  </si>
  <si>
    <r>
      <t xml:space="preserve">   </t>
    </r>
    <r>
      <rPr>
        <b/>
        <sz val="11"/>
        <color indexed="62"/>
        <rFont val="Times New Roman"/>
        <family val="1"/>
      </rPr>
      <t>X.</t>
    </r>
    <r>
      <rPr>
        <b/>
        <sz val="7"/>
        <color indexed="62"/>
        <rFont val="Times New Roman"/>
        <family val="1"/>
      </rPr>
      <t xml:space="preserve">        </t>
    </r>
    <r>
      <rPr>
        <b/>
        <sz val="11"/>
        <color indexed="62"/>
        <rFont val="Times New Roman"/>
        <family val="1"/>
      </rPr>
      <t>REGLAS DE VALIDACIÓN Y PROTECCIONES</t>
    </r>
  </si>
  <si>
    <t>1.	Las celdas verdes de cálculo y agregación permanecen protegidas; el usuario solo captura información en las celdas habilitadas.</t>
  </si>
  <si>
    <t>2.	Todo control que se describa deberá contar con evidencia disponible para verificación posterior.</t>
  </si>
  <si>
    <t>No.</t>
  </si>
  <si>
    <t>Código de Riesgo</t>
  </si>
  <si>
    <t>Área</t>
  </si>
  <si>
    <t>Área Consolidada</t>
  </si>
  <si>
    <t>Tipo de Riesgo</t>
  </si>
  <si>
    <t>Procedimiento</t>
  </si>
  <si>
    <t>Objetivo(s) Estratégico(s)</t>
  </si>
  <si>
    <t>Riesgo Inherente</t>
  </si>
  <si>
    <t>Evaluación</t>
  </si>
  <si>
    <t>Frecuencia</t>
  </si>
  <si>
    <t>Impacto</t>
  </si>
  <si>
    <t>Valor del Riesgo Inherente</t>
  </si>
  <si>
    <t>Nivel de Riesgo Inherente</t>
  </si>
  <si>
    <t>Responsable o dueño del riesgo</t>
  </si>
  <si>
    <t>Régimen afectado</t>
  </si>
  <si>
    <t>Transversalidad o Interrelación con otros Riesgos</t>
  </si>
  <si>
    <t>Amenazas (Solo para riesgos de GTIC)</t>
  </si>
  <si>
    <t>Vulnerabilidades (Solo para riesgos de GTIC)</t>
  </si>
  <si>
    <t>Activos de Información (Solo para riesgos de GTIC)</t>
  </si>
  <si>
    <t>Descripción de Control(es) Preventivo(s)</t>
  </si>
  <si>
    <t>Escala de efectividad de control(es) preventivo(s)</t>
  </si>
  <si>
    <t>Nivel de efectividad de control(es) preventivo(s)</t>
  </si>
  <si>
    <t>% efectividad de control(es) preventivo(s)</t>
  </si>
  <si>
    <t>Descripción de Control(es) Detectivo(s)</t>
  </si>
  <si>
    <t>Escala de efectividad de control(es) detectivo(s)</t>
  </si>
  <si>
    <t>Nivel de efectividad de control(es) detectivo(s)</t>
  </si>
  <si>
    <t>% efectividad de control detectivo</t>
  </si>
  <si>
    <t>Descripción de Control(es) Correctivo(s)</t>
  </si>
  <si>
    <t>Escala de efectividad de control(es) correctivo(s)</t>
  </si>
  <si>
    <t>Nivel de efectividad de control(es) correctivo(s)</t>
  </si>
  <si>
    <t>% efectividad de control correctivo</t>
  </si>
  <si>
    <t>Nivel de Automatización de los Controles</t>
  </si>
  <si>
    <t>Efectividad Total Ponderada de los Controles</t>
  </si>
  <si>
    <t>Riesgo Residual</t>
  </si>
  <si>
    <t>Frecuencia Residual</t>
  </si>
  <si>
    <t>Impacto Residual</t>
  </si>
  <si>
    <t>Valor del Riesgo Residual</t>
  </si>
  <si>
    <t>Nivel del Riesgo Residual</t>
  </si>
  <si>
    <t>Respuesta al riesgo</t>
  </si>
  <si>
    <t>Plan de Mitigación/Acciones Correctivas</t>
  </si>
  <si>
    <t>No. Acciones de Mitigación</t>
  </si>
  <si>
    <t>Actividades</t>
  </si>
  <si>
    <t>Cantidad de Actividades</t>
  </si>
  <si>
    <t>Monitoreo/ Seguimiento</t>
  </si>
  <si>
    <t>Responsables</t>
  </si>
  <si>
    <t>Fecha inicio</t>
  </si>
  <si>
    <t>Fecha final</t>
  </si>
  <si>
    <t>Recursos</t>
  </si>
  <si>
    <t>Presupuesto</t>
  </si>
  <si>
    <t>Frecuencia Residual (AUX)</t>
  </si>
  <si>
    <t>Impacto Residual (AUX)</t>
  </si>
  <si>
    <t>Suma Residual redondeada (AUX)</t>
  </si>
  <si>
    <t>F_base (AUX)</t>
  </si>
  <si>
    <t>I_base (AUX)</t>
  </si>
  <si>
    <t>Tope F (AUX)</t>
  </si>
  <si>
    <t>Tope I (AUX)</t>
  </si>
  <si>
    <t>Capacidad F (AUX)</t>
  </si>
  <si>
    <t>Capacidad I (AUX)</t>
  </si>
  <si>
    <t>Resto (AUX)</t>
  </si>
  <si>
    <t>Prefiere I (AUX)</t>
  </si>
  <si>
    <t>Inc_I (AUX)</t>
  </si>
  <si>
    <t>Inc_F (AUX)</t>
  </si>
  <si>
    <t>Valor del Riesgo Residual (AUX)</t>
  </si>
  <si>
    <t>Verificación</t>
  </si>
  <si>
    <t>VRR 2</t>
  </si>
  <si>
    <t>Verificar VRR 2</t>
  </si>
  <si>
    <t>Verificar Frec</t>
  </si>
  <si>
    <t>Verificar Impact</t>
  </si>
  <si>
    <t>VRI-VRR</t>
  </si>
  <si>
    <t>Señales de Alerta</t>
  </si>
  <si>
    <t>Afiliacion</t>
  </si>
  <si>
    <t>Otros Riesgos</t>
  </si>
  <si>
    <t>Creación y activación de registros en el sistema correspondientes a identidades falsas, suplantadas o personas que no cumplen criterios normativos, contractuales o internos para su afiliacion.</t>
  </si>
  <si>
    <t xml:space="preserve">Descripción:  Posibilidad de que el IHSS registre o afilie personas naturales o jurídicas inexistentes, suplantadas o que no cumplen los requisitos de elegibilidad establecidos, debido a deficiencias en los procesos de verificación de identidad, validación documental o controles de admisión.
Causas: Ausencia de validación biométrica o verificación en fuentes oficiales, procesos manuales sin doble validación, colusión interna, documentación falsificada no detectada.
Efecto: Pérdidas económicas por fraude / Afectación de imagen por vinculación con identidades ficticias / </t>
  </si>
  <si>
    <t>Control patronal/Planilla preelaborada/Afiliacion</t>
  </si>
  <si>
    <t>Todos</t>
  </si>
  <si>
    <t>Fraude, LAFT, Operativo, incumplimiento regulatorio</t>
  </si>
  <si>
    <t>1.- Verificacion de identidad del afiliado y el patrono mediante consulta a bases oficiales gubernamentales y registros institucionales para confirmar autenticidad, vigencia y consistencia de la informacion.
2.- Validacion biometrica, firma electronica o mecanismos de autenticacion digital, para confirmar correspondencia entre el solicitante y la identidad registrada.
3. Parametrización obligatoria de requisitos de elegibilidad, es decir configuracion de reglas automaticas en el sistema que impidan registrar afiliaciones que no cumplan con los requisitos normativos, documentales, salariales o de relacion laboral. El sistema debe bloquear registros incompletos, inconsistentes o fuera de parametros.
4. Segregación de funciones entre registro y aprobación, es decir: Separacion de responsabilidades entre captura, validacion y aprobacion de afiliaciones. El suistema debe impedir autoaprobaciones y mantiene trazabilidad de usuarios, cambios y autorizaciones</t>
  </si>
  <si>
    <t>Alta Efectividad</t>
  </si>
  <si>
    <t>1. Monitoreo de afiliaciones inusuales. Es decir, generacion periodica de reportes para identificar patrones atipicos: multiples afiliaciones vinculadas a un mismo patrono, altas masivas, salarios inconsistentes o duplicidad documental.
2. Muestreo periodico de afiliaciones aprobadas para validacion documental, elegibilidad y cumplimiento de procedimientos.
3. Alertas automaticas por inconsistencias: Parametrizacion de alertas para detectar documentos duplicados, identidades repetidas, patronos inactivos o afiliaciones fuera de rango salarial permitido.</t>
  </si>
  <si>
    <t>1. Inhabilitacion temporal de afiliaciones detectadas con inconsistencias hasta completar validacion.
2. Investigación interna y escalamiento. Remision de casos sospechosos a Auditoria Interna o instancia disciplinaria correspondiente.
3. Depuracion periodica de registros. revision y saneamiento de afiliaciones duplicadas, inactivas o irregulares detectadas en controles posteriores.</t>
  </si>
  <si>
    <t>Semiautomatizado</t>
  </si>
  <si>
    <t xml:space="preserve">Evitar </t>
  </si>
  <si>
    <t>1. Fortalecer validaciones automaticas de elegibilidad
2. Implementar controles de segregacion de funciones
3. Mejorar mecanismos de verificacion documental
4. Fortalecer monitoreo de afiliaciones inusuales
5. Realizar depuracion periodica de registros
6. Formalizar procedimientos de excepciones
7. Reforzar trazabilidad y auditoria
8. Capacitar al personal involucrado</t>
  </si>
  <si>
    <t xml:space="preserve">1.1 Parametrizar validaciones obligatorias
1.2. Incorporar bloqueos automaticos por inconsistencias
1.3. Validar duplicidad documental e identidad
2.1 Revisar perfiles de usuario
2.2 Eliminar permisos incompatibles
2.3 Configurar restricciones de autoaprobacion
2.4 Actualizar matrices de accesos
3.1 Estandarizar check lis documental
3.2 Capacitar al personal sobre documentos falsificados y señales de alerta
4.1 Diseñar reportes automatizados
4.2 identificar patrones atipicos
4.3 Realizar revisiones periodicas
5.1 Revisar afiliaciones duplicadas o inconsistentes
5.2 Confirmar vigencia de patronos
5.3 Corregir registros observados
6.1 Definir criterios de excepcion
6.2 Establecer niveles de autorizacion
6.3 Documentar y monitorear excepciones aprobadas
7.1 Activar bitacoras completas
7.2 Conservart historial de cambios y aprobaciones
8.1 Capacitaciones sobre LAFT, Señales de Alerta, etica y responsabilidad es de Control Interno
</t>
  </si>
  <si>
    <t>1. Revision mensual de afiliaciones aprobadas por excepcion
2. Revision mensual de Logs y Bitacoras
3. Muestreo trimestral de expedientes de afiliacion
4. Evaluacion anual de efectividad de controles</t>
  </si>
  <si>
    <t xml:space="preserve">1. Afiliacion / TI
2. Afiliacion / TI/ RRHH
3. Afiliacion / Legal / Cumplimiento
4. Cumplimiento /Auditoria / TI
5. Afiliacion / Auditoria
6. Cumplimiento / Afiliacion
7. TI / Auditoria
8. Cumplimiento / RRHH
</t>
  </si>
  <si>
    <t>1. Afiliaciones masivas atipicas
2. Patronos sin actividad verificable
3. Duplicidad documental
4. Excepciones recurrentes
5. Coincidencias de datos entre afiliados
6. Autoaprobaciones o intervencion repetitiva de funcionarios</t>
  </si>
  <si>
    <t>Emisión de autorización o prestación efectiva de un servicio de salud a una persona que, no figura como afiliado al sistema o tiene afiliacion suspendida</t>
  </si>
  <si>
    <t>Descripción: Posibilidad de que el IHSS autorice y/o preste servicios médicos a personas que no se encuentren afiliadas, que hayan perdido su condición de afiliación o que no cumplan los requisitos legales y contractuales para acceder a los servicios, debido a fallas en los controles de validación de derechos,
Causas: Sistemas desactualizados o sin integración, errores manuales del personal de admisiones, suplantación de identidad, falta de capacitación del personal, Parametrización incorrecta en el sistema de admisiones.
Efecto:  Pago de servicios no recuperables, investigaciones administrativas, redes organizadas para uso indebido de servicios</t>
  </si>
  <si>
    <t>Control patronal/Planilla preelaborada</t>
  </si>
  <si>
    <t>EM</t>
  </si>
  <si>
    <t>Fraude,  riesgo operativo y financiero</t>
  </si>
  <si>
    <t>1.- Validación automática y obligatoria del estado de afiliación previo a la emisión de autorizaciones y prestación de servicios.
2.- Integración entre los sistemas de afiliación, recaudación y atención médica para garantizar información actualizada en tiempo real.
3.- Restricción de acceso al sistema para impedir la generación manual de autorizaciones sin validación previa.
4.- Implementación de perfiles y segregación de funciones para el personal autorizado.
5.- Capacitación periódica al personal administrativo y asistencial sobre procedimientos de verificación de afiliación.
6.- Establecimiento de políticas y procedimientos formales para validación de derechos y cobertura.
7.- Uso de mecanismos de autenticación del afiliado mediante documento de identidad y validación biométrica cuando aplique.</t>
  </si>
  <si>
    <t xml:space="preserve">1. Generación de reportes periódicos de autorizaciones emitidas a afiliados suspendidos o inexistentes.
2.- Conciliaciones mensuales entre base de afiliados activos y servicios prestados.
3.- Monitoreo de excepciones y alertas automáticas sobre inconsistencias en afiliación.
4.- Auditorías internas sobre expedientes médicos y autorizaciones emitidas.
5.- Revisión aleatoria de atenciones médicas otorgadas en periodos críticos o fuera de parámetros normales.
6.- Seguimiento de usuarios con alto volumen de anulaciones o modificaciones de autorizaciones.
</t>
  </si>
  <si>
    <t>1. Suspensión inmediata de accesos o permisos a usuarios involucrados en irregularidades.
2. Anulación de autorizaciones emitidas indebidamente cuando proceda.
3. Recuperación administrativa o legal de valores pagados indebidamente.
4. Investigación interna de casos detectados y documentación de hallazgos.
5. Aplicación de medidas disciplinarias conforme normativa institucional.
6. Actualización de procedimientos y controles derivados de incidentes identificados.</t>
  </si>
  <si>
    <t>1. Implementar controles automáticos de bloqueo ante inconsistencias de afiliación.
2. Realizar auditorías periódicas sobre autorizaciones y servicios otorgados.
3. Reforzar programas de capacitación y concientización del personal.
4. Actualizar matrices de acceso y perfiles de usuarios.
5. Establecer indicadores de monitoreo y seguimiento de incidentes LAFT asociados al proceso.
6. Implementar revisiones periódicas de calidad de datos de afiliación.</t>
  </si>
  <si>
    <t>1. Ejecutar validaciones automáticas diarias de afiliación activa.
2. Elaborar reportes mensuales de incidencias detectadas.
3. Realizar cruces de información entre afiliación, recaudación y servicios médicos.
4. Capacitar trimestralmente al personal involucrado.
5. Documentar y dar seguimiento a incidentes detectados.
6. Revisar y actualizar procedimientos operativos cada seis meses.
7. Aplicar pruebas de funcionamiento de controles tecnológicos.
8. Presentar resultados de monitoreo al comité de cumplimiento o riesgo institucional.</t>
  </si>
  <si>
    <t>1. Emisión recurrente de autorizaciones manuales o fuera del flujo normal.
2. Prestación de servicios a personas con afiliación suspendida, inexistente o inconsistente.
3. Incremento inusual de anulaciones o correcciones de autorizaciones.
4. Usuarios internos que realizan modificaciones frecuentes en registros de afiliación.
5. Diferencias entre la base de afiliados activos y los servicios facturados.
6. Reclamos o denuncias relacionados con uso indebido de cobertura médica.
7. Accesos al sistema fuera de horarios habituales o desde ubicaciones no autorizadas.
8. Uso reiterado de credenciales por distintos usuarios.</t>
  </si>
  <si>
    <t>Pensiones</t>
  </si>
  <si>
    <t>Reconocimiento de Pensiones</t>
  </si>
  <si>
    <t>Aprobación y reconocimiento de una prestación pensional a una persona que no cumple los requisitos legales</t>
  </si>
  <si>
    <t>Descripción:  Posibilidad de que el IHSS reconozca y otorgue una pensión con base en información falsa, adulterada o incompleta respecto a semanas cotizadas, historia laboral, edad, estado civil, invalidez u otros requisitos legales, debido a deficiencias en los procesos de validación y verificación documental
Causas: Procesos manuales sin doble revisión técnica, colusión entre funcionarios y solicitantes, falsificación documental no detectada.
Efecto:  Alto impacto financiero y reputacional, procesos disciplinarios contra funcionarios</t>
  </si>
  <si>
    <t>IVM</t>
  </si>
  <si>
    <t>Fraude, LAFT, incumplimiento regulatorio. Riesgo operativo, Riesgo reputacional, corrupcion, tecnologico</t>
  </si>
  <si>
    <t xml:space="preserve">1. Validación biométrica del solicitante
2. Implementación de controles de acceso y trazabilidad sobre expedientes físicos y electrónicos.
3. Verificación de autenticidad de documentos mediante consultas a registros oficiales, bases de datos institucionales y fuentes independientes.
4. Aplicación de procesos de debida diligencia para verificar la identidad del solicitante, beneficiarios y apoderados, cuando corresponda.
5. Segregación de funciones entre las áreas responsables de recepción, análisis, validación, recomendación y aprobación de prestaciones.
6. Capacitación periódica al personal sobre prevención de fraude, corrupción, LAFT y detección de documentación falsa o alterada.
7. </t>
  </si>
  <si>
    <t>Inexistente</t>
  </si>
  <si>
    <t>1. Indicador de pensiones revocadas (cuántas pensiones que ya habían sido reconocidas, posteriormente fueron anuladas, revocadas o dejadas sin efecto por detectar inconsistencias, errores o fraude).
2.- Análisis de patrones inusuales en reconocimientos
3. Revisiones de calidad y validaciones independientes sobre expedientes previamente aprobados.
4. Auditorías periódicas de expedientes pensionales y beneficios otorgados.
5. Generación de reportes de alertas sobre modificaciones posteriores a la aprobación de beneficios.
6. Revisiones aleatorias de expedientes por parte de las áreas de control interno, cumplimiento o auditoría
7. Monitoreo de usuarios con accesos privilegiados o intervenciones inusuales sobre expedientes de prestaciones.</t>
  </si>
  <si>
    <t xml:space="preserve">1.- Suspensión preventiva del trámite o del beneficio cuando se identifiquen inconsistencias relevantes o indicios de fraude.
2. Recuperación de pagos efectuados indebidamente conforme al marco legal aplicable.
3. Aplicación de medidas disciplinarias cuando se determine participación o negligencia de funcionarios.
4. Fortalecimiento de controles y procedimientos asociados al hallazgo identificado.
5. Comunicación y reporte a las autoridades competentes cuando existan indicios de fraude, corrupción, falsificación documental, lavado de activos u otros ilícitos.
</t>
  </si>
  <si>
    <t>1. Revisar y fortalecer los procedimientos de evaluación y aprobación de prestaciones.
2. Incrementar la frecuencia de auditorías sobre expedientes de alto riesgo.
3. Establecer mecanismos de doble revisión para casos complejos o excepcionales.
4. Actualizar periódicamente los criterios de segmentación y perfiles de riesgo.
5. Desarrollar programas continuos de capacitación y concienciación para el personal involucrado.
6. Implementar indicadores de gestión y alertas tempranas para identificar desviaciones en los procesos de aprobación.</t>
  </si>
  <si>
    <t>1. Verificación documental y legal de requisitos
2. Validación de identidad y autenticidad documental
3. Consulta en listas restrictivas y PEP
4. Revisión independiente de expedientes seleccionados
5. Auditoría de prestaciones aprobadas
6. Capacitación en fraude, LAFT y control interno
7. Actualización de procedimientos y controles
8. Seguimiento de hallazgos y planes de acción</t>
  </si>
  <si>
    <t>1. Expedientes con documentación incompleta, inconsistente o alterada.
2. Incremento inusual de solicitudes provenientes de una misma fuente o gestor.
3. Modificaciones frecuentes de datos personales antes de la aprobación.
4. Presión indebida para acelerar procesos o evitar controles establecidos.
5. Coincidencias con listas restrictivas, sancionatorias o registros de investigación.
6. Falta de soporte documental suficiente para acreditar el derecho a la prestación.
7. Pagos o beneficios aprobados bajo esquemas de excepción sin la debida justificación y autorización.</t>
  </si>
  <si>
    <t>Pago de Pensiones</t>
  </si>
  <si>
    <t>Pago de una o más cuotas de pension, posteriores a la fecha real de fallecimiento del pensionado, sin que el sistema del IHSS haya bloqueado oportunamente el beneficio</t>
  </si>
  <si>
    <t>Descripción:  Posibilidad de que la entidad continúe efectuando el pago de mesadas pensionales después del fallecimiento del beneficiario, debido a fallas en la actualización de información vital, ausencia de cruces con bases oficiales o deficiencias en los controles de verificación periódica.
Causas: 
No existe un proceso de cruce de base de datos del IHSS contra la del RNP (Defunciones), 
Retraso, por parte de los familiares, en el reporte del fallecimiento del pensionado,
Debilidad en el proceso de supervivencia
Cobro fraudulento por terceros (familiares o apoderados)
Efecto:  Perdida financiera, riesgo reputacional (mal manejo de fondos publicos)</t>
  </si>
  <si>
    <t>Fraude, LAFT, incumplimiento regulatorio. Riesgo operativo, Riesgo reputacional</t>
  </si>
  <si>
    <t>1. Cruce automático y periódico con base de datos del RNP (defunciones)
2. Proceso de sobrevivencia digital (Huella)</t>
  </si>
  <si>
    <t>1. Indicador de pagos posteriores a fecha de fallecimiento (detectadas / total pensiones x100).
2. Auditorías periódicas a pensionados de mayor edad
3. Reportes de inconsistencias bancarias (Planillas dejadas de cobrar)</t>
  </si>
  <si>
    <t>1.- Suspension de pago
2. Denuncia penal</t>
  </si>
  <si>
    <t>Subsidios</t>
  </si>
  <si>
    <t>Pago de subsidios RP</t>
  </si>
  <si>
    <t>Reconocimiento y pago de subsidios o pension por invalidez, derivados de un accidente laboral que no ocurrio, ocurrio fuera del ambito laboral o fue respaldado con información falsa.</t>
  </si>
  <si>
    <t>Descripción:  Posibilidad de que se reporten y tramiten accidentes de trabajo inexistentes, simulados o alterados con el fin de obtener prestaciones económicas o asistenciales indebidas, debido a debilidades en los procesos de verificación, investigación y validación del origen del evento.
Causas: 
Procesos manuales sin doble revisión técnica, 
Falta de investigación técnica del accidente,
Colusión entre trabajador y empleador,
Falsificación documental no detectada,
Presión económica del trabajador.
Efecto:  Pago indebido de prestaciones economicas</t>
  </si>
  <si>
    <t>RP</t>
  </si>
  <si>
    <t>Fraude, operativo, financiero</t>
  </si>
  <si>
    <t>1. Procedimiento formal de investigación del accidente,
2. Análisis técnico del lugar del accidente.
3. Revisión médica independiente
4. Declaración formal bajo juramento</t>
  </si>
  <si>
    <t>1. Indicador de reincidencia por trabajador (Trabajador con mas de X accientes en el periodo / total de trabajadores accidentados) o empleador (No. De accidentes en la empresa / Numero de trabajadores afiliados). Esto como alerta para investigacion
2. Cruces de incapacidades recurrentes
3. Auditorías aleatorias de casos</t>
  </si>
  <si>
    <t>1. Reversión de pagos cuando proceda
2. Denuncia penal por fraude
3. Reporte a autoridad laboral competente (Empleador)</t>
  </si>
  <si>
    <t>Prestaciones Economicas</t>
  </si>
  <si>
    <t>Aprobación y pago de incapacidades prolongadas que no cuenten con soporte medico adecuado, emitidas de manera reiterada por el mismo profesional o superan tiempos estándar para el diagnóstico reportado</t>
  </si>
  <si>
    <t>Descripción:  Posibilidad de que se autoricen o paguen prórrogas de incapacidades médicas sin sustento clínico suficiente o sin cumplimiento de criterios técnicos y normativos, debido a deficiencias en los procesos de auditoría médica y control de proceso de subsidios.
Causas: 
Falta de auditoría médica especializada,
Ausencia de guías clínicas parametrizadas en el sistema.
Colusión entre trabajador y profesional de salud.
Debilidad en seguimiento de incapacidades prolongadas.
Efecto:  Pérdidas económicas, fraude, riesgo reputacional, aumento de carga operativa innecesaria</t>
  </si>
  <si>
    <t>Fraude, financiero, operativo, legal</t>
  </si>
  <si>
    <t>1. Parametrización de días máximos por diagnóstico (según guías clínicas)
2. Auditoría médica obligatoria a partir de cierto número de días acumulados.
3. Segunda opinión médica independiente en incapacidades prolongadas.
4. Validación de coherencia entre diagnóstico y tiempo de incapacidad.</t>
  </si>
  <si>
    <t>1. Indicador de incapacidades superiores al promedio sectorial.
2. eincidencia por trabajador o médico tratante.
3. Alertas automáticas por acumulación de días.
4. Análisis de incapacidades por empleador.</t>
  </si>
  <si>
    <t>1. Revisión técnica integral del caso.
2. Reporte a autoridad competente si se configura fraude.</t>
  </si>
  <si>
    <t>Compras/Almacen/GAYF</t>
  </si>
  <si>
    <t>Compras de Medicmentos</t>
  </si>
  <si>
    <t>Pago de cuentas médicas o registros contables que incluyen medicamentos no dispensados al derechohabiente, entregados parcialmente pero facturados en su totalidad, sustituidos por otros de menor valor, registrados sin soporte de entrega o sin firma de recibido.</t>
  </si>
  <si>
    <t>Descripción:  Posibilidad de que se facture, pague o registre la compra de medicamentos que no fueron efectivamente entregados al paciente o recibidos físicamente por el IHSS, debido a fallas en los controles de dispensación, conciliación y auditoría.
Causas: 
Ausencia de conciliación entre facturación y dispensación,
Falta de trazabilidad del medicamento (lote, código, serial),
Procesos manuales en farmacia,
Colusión entre funcionario y proveedor,
Fallas en control de inventarios.
Efecto:  Pérdidas económicas, fraude, riesgo reputacional, aumento de carga operativa innecesaria (Reprocesos)</t>
  </si>
  <si>
    <t>Fraude, operativo, financiero y legal</t>
  </si>
  <si>
    <t>1. Sistema de dispensación con registro digital obligatorio
2. Trazabilidad por código de barras o serie.
3. Conciliación automática entre orden médica, inventario y facturación.
4. Segregación de funciones (dispensación vs facturación).</t>
  </si>
  <si>
    <t>1. Auditoría de cuentas médicas, mientras se esta prestando el servicio.
2. Indicador de diferencias entre inventario físico y contable.
3. Análisis de consumo atípico por regional, periferica o institucion prestadora de servicios subrogados.</t>
  </si>
  <si>
    <t>1. Recuperación de pagos indebidos.
2. Denuncia penal si hay apropiación indebida.</t>
  </si>
  <si>
    <t>RRHH</t>
  </si>
  <si>
    <t>Contratacion</t>
  </si>
  <si>
    <t>Adjudicación o celebración de contratos en los que se diseñan pliegos o términos de referencia a la medida de un proponente, se omiten requisitos legales o técnicos, se alteran evaluaciones, se permite participación de oferentes no elegibles, se manipulan estudios previos o análisis de mercado.</t>
  </si>
  <si>
    <t>Descripción:  Posibilidad de que los procesos de contratación sean direccionados, alterados o manipulados indebidamente para favorecer a un proveedor específico o afectar la libre competencia, mediante la modificación injustificada de requisitos, filtración de información privilegiada, evaluación sesgada o colusión interna.
Causas: 
Conflictos de interés no declarados,
Falta de segregación de funciones,
Débil supervisión del proceso contractual,
Intervención indebida de funcionarios o presion externa (politica)
Falta de trazabilidad documental.
Controles internos formales pero no efectivos.
Efecto:  Pérdidas económicas, procesos disciplinarios y penales por corrupción, interrupción de servicios críticos (salud, medicamentos, tecnología) y riesgo reputacional</t>
  </si>
  <si>
    <t>Fraude, corrupcion, financiero, operativo, reputacional, riesgo de cumplimiento regulatorio</t>
  </si>
  <si>
    <t>1. Manual de contratación actualizado.
2. Declaración obligatoria de conflicto de interés.
3. Comité evaluador con miembros independientes.
4. Transparencia del proceso.
5. Matriz de evaluación objetiva y parametrizada (criterios previamente definidos, medibles, cuantificables y no discrecionales)</t>
  </si>
  <si>
    <t>1. Indicador de concentración de contratación por proveedor.
2. Auditoría contractual periódica.</t>
  </si>
  <si>
    <t>1. Nulidad contractual cuando proceda.
2. Acción de repetición (si hay responsabilidad individual).
3. Denuncia ante autoridad competente.</t>
  </si>
  <si>
    <t>Tesoreria</t>
  </si>
  <si>
    <t>Pagos</t>
  </si>
  <si>
    <t>Desembolso de recursos cuando se modifica la cuenta bancaria sin validación robusta, se registran cuentas falsas en el sistema, existe suplantación de beneficiario o proveedor o se realizan pagos a terceros no autorizados.</t>
  </si>
  <si>
    <t xml:space="preserve">Descripción:  Posibilidad de que se efectúen pagos de prestaciones económicas, servicios de salud o contratos a cuentas bancarias no autorizadas, suplantadas o modificadas fraudulentamente, debido a fallas en los controles de validación, actualización y confirmación de datos financieros.
Causas: 
Debilidad en el proceso de actualización de datos financieros.
Ataques de ingeniería social.
Accesos indebidos al sistema.
No segregación entre quien registra y quien autoriza
Efecto:  Pérdidas económicas, reclamaciones por no pago al beneficiario legítimo, reprocesos y suspension temporal de la planilla. </t>
  </si>
  <si>
    <t>Tesoreria, RRHH, Compras, Contabilidad, Pensiones</t>
  </si>
  <si>
    <t>1. Autenticación para cambio de cuenta.
2. Confirmación directa con el beneficiario (doble canal).
3. Bloqueo automático ante cambio de cuenta cercano a fecha de pago.
4. Segregación de funciones: registro vs aprobación.
5. Registro de bitácora y trazabilidad completa.</t>
  </si>
  <si>
    <t>1. Indicador de cambios de cuenta previos a fecha de pago.
2. Alertas por múltiples cambios de cuenta en corto periodo.</t>
  </si>
  <si>
    <t>1. Gestión inmediata de reversión bancaria.
2. Suspensión temporal de pagos ante alerta.
3. Investigación disciplinaria si hay intervención interna.</t>
  </si>
  <si>
    <t>Pagos de prestaciones Economicas</t>
  </si>
  <si>
    <t>Reconocimiento o pago de pension por viudez o ascendencia a quien no acredita vínculo válido, pensión de orfandad sin cumplir requisitos de edad o dependencia o representantes que cobran sin legitimación.</t>
  </si>
  <si>
    <t>Descripción:  Posibilidad de que se reconozcan o paguen prestaciones económicas a personas que no cumplen los requisitos legales para ostentar la calidad de beneficiarios, mediante suplantación, falsedad documental, ocultamiento de información o interpretación indebida de la normativa
Causas: 
Debilidad en verificación de estado civil,
Aceptación de documentos sin autenticación robusta,
Falta de cruces con bases oficiales (registro civil, defunciones).
Colusión interna
Efecto:  Pérdidas económicas, afectación de reservas técnicas y distorcion de sus proyecciones financieras, procesos judiciales de terceros afectados, daño reputacional.</t>
  </si>
  <si>
    <t>Gerencia de IVM</t>
  </si>
  <si>
    <t>Fraude, financiero, reputacional, operativo, actuarial</t>
  </si>
  <si>
    <t>1. Validación obligatoria contra registro civil y bases oficiales.
2. Verificación documental con herramientas antifraude.
3. Revisión cruzada de beneficiarios previos.</t>
  </si>
  <si>
    <t>1. Cruce con bases de fallecidos y cambios de estado civil.
2. Alertas por múltiples beneficiarios en mismo núcleo</t>
  </si>
  <si>
    <t>1. Acción de repetición.
2. Denuncia penal por fraude documental.</t>
  </si>
  <si>
    <t>Transferencias Bancarias</t>
  </si>
  <si>
    <t>Transferencias a zonas de alto riesgo</t>
  </si>
  <si>
    <t>Descripción:  Autorizacion de Transferencias a zonas de alto riesgo
Causas: Falta de control para identificar zonas de alto riesgo o paraisos fiscales (compras a empresas extranjeras con cuentas en esos paises)
Efecto:  Pérdidas económicas / Sanciones legales x incumplimiento normativo / LAFT</t>
  </si>
  <si>
    <t>Fraude/LAFT</t>
  </si>
  <si>
    <t>Segmentacion geografica</t>
  </si>
  <si>
    <t>Patronal</t>
  </si>
  <si>
    <t>Sujecion Patronal</t>
  </si>
  <si>
    <t>Empresas afiliadas que no tiene operaciones reales, no cuenta con infraestructura, empleados o actividad verificable, declara planillas ficticias o presenta aportes mínimos previos a reconocimiento pensional o incapacidad.</t>
  </si>
  <si>
    <t>Descripción:  Posibilidad de que se registren, afilien o mantengan como empleadores activos empresas que no desarrollan una actividad económica real o verificable, constituidas con fines de simulación laboral, o acceso indebido a prestaciones del sistema de seguridad social.
Causas: 
Falta de verificación de existencia y actividad económica (Debilidad en inspección),
Falta de cruce con bases tributarias o mercantiles,
Uso de testaferros o empresas fachada.
Colusión interna.
Efecto:  Pérdidas economicas (Pago indebido de incapacidades, Cobertura en riesgos laborales sin actividad real)/Afectación en reservas técnicas/Sanciones legales x incumplimiento normativo / LAFT (Uso de empresas fachada para dar apariencia de legalidad)</t>
  </si>
  <si>
    <t>Control Patronal, RP, IVM</t>
  </si>
  <si>
    <t>Financiero, actuarial, operativo, Fraude, LAFT, reputacional</t>
  </si>
  <si>
    <t>1. Validación contra registro mercantil y la SAR
2. Verificación de actividad económica declarada.
3. Análisis de coherencia entre actividad y número de trabajadores.</t>
  </si>
  <si>
    <t>1. Cruce con bases fiscales.
2. Identificación de múltiples empresas con mismo representante legal.
3. Indicador de empresas con: Mínimo tiempo de afiliación previo a siniestro.</t>
  </si>
  <si>
    <t>1. uspensión de afiliación.
2. Denuncia por fraude.
3. Recuperación de recursos.</t>
  </si>
  <si>
    <t>Calculo de pension</t>
  </si>
  <si>
    <t>Reconocimiento de prestacion economica cuando se adicionan periodos no cotizadas realmente, se duplican períodos ya contabilizados, se modifican historiales laborales en el sistema o se corrigen registros sin trazabilidad.</t>
  </si>
  <si>
    <t>Descripción:  Posibilidad de que se manipule, registre indebidamente o altere el número de períodos o montos de cotización de un afiliado, con el fin de cumplir artificialmente los requisitos para acceder a beneficios previsionales.
Causas: 
Debilidad en controles sobre historia laboral, 
Procesos manuales de corrección sin validación robusta,
Certificaciones laborales falsas,
Colusión interna.
Efecto:  Pérdidas económicas (Reconocimiento indebido de pensión), distorsión de reservas técnicas, litigios posteriores por revocatoria, sanciones legales x incumplimiento normativo.</t>
  </si>
  <si>
    <t>Fraude, operativo, legal financiero, reputacional, actuarial</t>
  </si>
  <si>
    <t>1. Bloqueo de modificación directa de semanas sin trazabilidad.
2. Doble validación en correcciones de historia laboral.</t>
  </si>
  <si>
    <t>1. Alertas por correcciones masivas en corto tiempo.
2. Auditoría periódica de modificaciones históricas.</t>
  </si>
  <si>
    <t>Planilla</t>
  </si>
  <si>
    <t>Pago de planilla o desembolso de salarios, a empleados inexistentes dentro del IHSS (empleados fantasma) o a cuentas bancarias controladas por tercerros</t>
  </si>
  <si>
    <t xml:space="preserve">Descripción:  Posibilidad de que funcionarios o empleados con acceso a los sistemas de gestión humana y nómina creen, modifiquen o mantengan registros de empleados inexistentes o retirados, con el fin de generar pagos salariales y prestaciones económicas indebidas.
Causas: 
Falta de segregación de funciones entre creación, modificación y pago de nómina,
Debilidades en los controles de vinculación y retiro de personal,
Deficiencias en la validación de cuentas bancarias y documentos de identidad, 
Controles insuficientes en accesos y perfiles del sistema,
Cultura ética débil o ausencia de monitoreo antifraude (
Efecto:  Pérdidas económicas /  LAFT / </t>
  </si>
  <si>
    <t>Fraude/LAFT/operativo/abuso de autoridad</t>
  </si>
  <si>
    <t>Cruces de informacion RRHH y financiera</t>
  </si>
  <si>
    <t>1. Cuentas bancarias repetidas en diferentes empleados
2. Empleados sin expediente físico completo
3. Falta de registro biométrico o control de asistencia
4. Variaciones presupuestarias sin justificación</t>
  </si>
  <si>
    <t>Gestion Salaial</t>
  </si>
  <si>
    <t>Aplicación de incrementos salariales sin respaldo presupuestario ni aprobación formal conforme a normativa interna</t>
  </si>
  <si>
    <t>Descripción:  Posibilidad de que funcionarios con facultades en la administración de personal aprueben o ejecuten incrementos salariales, bonificaciones o ajustes remunerativos sin cumplir los procedimientos, autorizaciones o disposiciones presupuestarias establecidas, con el fin de beneficiar indebidamente a empleados o desviar recursos institucionales.
Causas: 
Falta de segregación de funciones,
Debilidad en controles de aprobación por jerarquias,
Accesos excesivos al sistema de planillas,
Ausencia de auditoría periódica,
Cultura organizacional permisiva
Efecto:  Pérdidas económicas, daño reputacional, sanciones por incumplimiento normativo</t>
  </si>
  <si>
    <t>Fraude, Corrupcion, operativo, financiero</t>
  </si>
  <si>
    <t>1. Politica formalizada de incrementos salariales
2.- Segregacion de Funciones
3.- Aprobaciones jerarquicas/cero dependencia de un unico aprobador
4.- parametrizacion del sistema de planillas
5.- Control presupuestario previo
6.- Manual de funciones actualizado</t>
  </si>
  <si>
    <t>1.- Conciliacion mensual entre planilla pagada y presupuesto
2.- Bitacora del sistema de modificaciones salariales
3. Revision semestral (por lo menos) por parte de Auditoria Interna a las actas de aprobacion, soporte presupuestario y expedientes laborales, asi como de incrementos salariales extraordinarios
4. Generacion de sistema de alertas para incrementos salariales multiples en un mismo año</t>
  </si>
  <si>
    <t>1.- Suspension inmediata de incremento irregular
2. Investigacion administrativa formal
3. Recuperacion de valores pagados indebidamente
4. Fortalecimiento de los controles vulnerados
5.- Informe a las autoridades competentes en caso de indicios suficiente de delito.</t>
  </si>
  <si>
    <t>1. Incrementos salariales fuera del período anual autorizado
2. Ajustes manuales en sistema sin acta de aprobación
3. Variaciones presupuestarias no justificadas
4. Empleados con aumentos reiterados 
5. Modificaciones salariales realizadas por el mismo usuario del sistema, fuera del proceso autorizado</t>
  </si>
  <si>
    <t>Adjudicación de contratos incumpliendo requisitos de transparencia, competencia y aprobación interna.</t>
  </si>
  <si>
    <t>Descripción:  Posibilidad de que funcionarios manipulen o direccionen procesos de contratación institucional, omitiendo o alterando los procedimientos internos establecidos, con el fin de favorecer a determinados proveedores, lo que podría generar actos de corrupción, sobrevaloración contractual y eventual utilización del contrato como mecanismo para desviar o legitimar recursos de origen ilícito.
Causas:
Concentración de poder en un solo funcionario,
Falta de comité evaluador independiente,
Debilidad en el proceso operativo y en la supervision
falta de debida diligencia con el proveedor
Conflictos de interés no declarados
Efecto:  Pérdidas perdidas económicas x contrataciones excesivas o con remuneracion superior a lo permitido o presupuestado</t>
  </si>
  <si>
    <t>RRHH/MAI</t>
  </si>
  <si>
    <t>Fraude/Corrupcion/Reputacional/legal/LAFT</t>
  </si>
  <si>
    <t>Comité de selección de RRHH</t>
  </si>
  <si>
    <t>1. Pliegos de condiciones con requisitos restrictivos o direccionados
2. Único oferente recurrente
3. Proveedores recién constituidos que ganan contratos relevantes
4. Fraccionamiento de contratos para evitar procesos formales
5. Modificaciones contractuales frecuentes que incrementan el valor
6. Relación personal entre funcionario y proveedor</t>
  </si>
  <si>
    <t>Patronal/compras</t>
  </si>
  <si>
    <t>Identificacion de Proveedores</t>
  </si>
  <si>
    <t>Adjudicación y contratación con proveedor inexistente, ficticio, inhabilitado o sin capacidad real para prestar el servicio.</t>
  </si>
  <si>
    <t xml:space="preserve">Descripción:  Posibilidad de que el IHSS celebre procesos de contratación con proveedores que no cuenten con respaldo documental completo, existencia legal verificada o capacidad técnica y financiera comprobada, debido a deficiencias en los procedimientos de debida diligencia y control documental, lo cual puede facilitar actos de corrupción, fraude o simulación contractual.
Causas:
Ausencia de procedimiento formal de debida diligencia a proveedores,
Falta de checklist obligatorio documental,
Sistemas no integrados de registro de proveedores
Negligencia en revisión documental.
Colusión interna,
Falta de validación con registros públicos,
Alta carga operativa en unidad de compras,
Procesos de emergencia o compras directas, sin suficiente respaldo o justificacion
Efecto:  Pérdida directa de recursos institucionales, procesos penales por fraude o corrupción, señalamientos mediáticos, Pérdida de confianza pública, interrupcion de servicios
</t>
  </si>
  <si>
    <t>Compras/Control Patronal/GAYF/Auditoria Interna/Asesoria legal</t>
  </si>
  <si>
    <t>Fraude/LAFT/Reputacional/legal</t>
  </si>
  <si>
    <t>1. Procedimiento formal de debida diligencia a proveedores.
2. Checklist obligatorio de requisitos legales y financieros
3. Cláusulas contractuales anticorrupción.
4. Registro unico institucional de proveedores
5. Segregacion de funciones claramente definidas.</t>
  </si>
  <si>
    <t>1. Auditoria periodica de expedientes contractuales.
2. Verificación aleatoria de existencia física
3. Monitoreo de proveedores recien creados
4. Revisión posterior a pagos relevantes</t>
  </si>
  <si>
    <t>1. Suspension inmediata del contrato, ante hechos concretos
2. Recuperación de pagos indebidos
3. Denuncia ante el ministerio Publico
4. Inhabilitación del proveedor.
5. Sancion disciplinaria a funcionario o empleados responsables del o los procesos
6. Revisión integral de contratos adjudicados por el mismo evaluador</t>
  </si>
  <si>
    <t>Compras</t>
  </si>
  <si>
    <t>Ejecucion Contractual</t>
  </si>
  <si>
    <t>Riesgo de pago indebido a proveedores por bienes o servicios no recibidos o no ejecutados</t>
  </si>
  <si>
    <t>Descripción:  Posibilidad de que el IHSS realice pagos a proveedores por bienes no entregados, servicios no ejecutados, servicios médicos no prestados o prestaciones sobrevaloradas, como consecuencia de debilidades en los controles de recepción, validación, supervisión contractual o posibles actos de colusión entre funcionarios y terceros.
Causas: 
Debilidad en la segregación de funciones,
Ausencia de controles físicos de recepción.
Colusión entre funcionario y proveedor.
Deficiente administración contractual.
Cultura organizacional débil en control interno.
Presión por ejecución presupuestaria.
Efecto:  Pérdidas  económicas/riesgo reputacional/Interrupcion en prestacion de servicios medicos/sanciones administrativas y penales</t>
  </si>
  <si>
    <t>MAI/Compras/GAYF/Auditoria</t>
  </si>
  <si>
    <t>Fraude/Corrupcion/legal, operativo, reputacional, incumplimiento normativo, LAFT</t>
  </si>
  <si>
    <t>1. politica formal de contratacion y pagos
2. Segregacion de funciones obligatoria (incluye solicitud, aprobacion, recepcion, contabilizacion y pago)
3.- parametrizacion en el sistema de forma que no hayan pagos que ya hayan sido ejecutados
4. Registro y debida diligencia del proveedor
5. Acta formal de Recepcion
6.- Declaracion anual de conflicto de interes
7.- Limites de autorizacion escalonadas por orden jerarquico y por montos
8.- Incorporacion en los contratos de clausulas anticorrupcion y penalidades contractuales (Terminacion anticipada, penalizacion por incumplimiento, obligacion de devolucion d epagos indebidos, entre otros)</t>
  </si>
  <si>
    <t>1.- Conciliacion periodica de inventario fisico vrs sistema
2.- Auditorias internas, programadas y  sorpresivas
3.- Cruces automatizados de facturacion (identificacion de facturas duplicadas, pagos fraccionados, concentracion excesiva de un proveedor)
4. Indicadores de alerta (incremento inusual de pagos, variacion significativa de precios, modificaciones contractuales frecuentes)
5. Canal de denucnias confidencial, como mecanismo anonimo para reportar irregularidades</t>
  </si>
  <si>
    <t>1.- Suspension inmediata del pago del proveedor
2. Investigacion administrativa formal (Auditoria)
3.- Terminacion anticipada del contrato por incumplimiento
4. Recuperacion de fondos
5.- Denuncia ante autoridades competentes
6.- Inclusion en lista de proveedores inhabilitados</t>
  </si>
  <si>
    <t>1. Facturación recurrente con conceptos ambiguos.
2. Pagos urgentes fuera de programación normal.
3. proveedores vinculados  a funcionarios
4. Órdenes de compra posteriores a la factura
5. Concentración excesiva en un solo proveedor.
6. Diferencia entre inventario fisico vrs sistema</t>
  </si>
  <si>
    <t>RRHH/Tesoreria</t>
  </si>
  <si>
    <t>Pago Planilla</t>
  </si>
  <si>
    <t>Riesgo de pagos indebidos a través de planilla a una misma cuenta bancaria</t>
  </si>
  <si>
    <t>Descripción:  Posibilidad de que se procesen pagos de salarios, beneficios o prestaciones laborales a múltiples empleados utilizando una misma cuenta bancaria, como resultado de la creación de empleados ficticios, manipulación indebida de datos bancarios, colusión interna o debilidades en los controles de validación y actualización de información en el sistema de planillas.
Causas: 
1. Ausencia de controles automáticos que detecten cuentas duplicadas.
2. Debilidad en la segregación de funciones en RRHH.
3. Accesos inadecuados al sistema de nómina
4. Colusión entre personal de RRHH y Tesorería o terceros
Efecto:  Pérdidas  económicas/riesgo reputacional</t>
  </si>
  <si>
    <t>RRHH, Tesoreria, GTIC</t>
  </si>
  <si>
    <t>Fraude/Corrupcion/Operativo/Reputacional/Informatico</t>
  </si>
  <si>
    <t>1. Segregacion de funciones en planilla
2. Validación automática de cuentas bancarias duplicadas
3. Control de accesos
4. Políticas de actualización con soporte documental</t>
  </si>
  <si>
    <t>1. Reportes de cuentas duplicadas
2. Conciliaciones de planilla vs pagos
3. Auditorías internas
4. Monitoreo de cambios en datos maestros</t>
  </si>
  <si>
    <t>1. Bloqueo de pagos
2. Investigación interna
3. Recuperación de fondos
4. Proceso de sanciones disciplinarias</t>
  </si>
  <si>
    <t xml:space="preserve">1.- Cuentas bancarias asignadas a mas de un empleado
2. Cuentas bancarias modificadas poco antes de pago de planilla 
3. Conciliacion bancaria (planilla) no concuerda con presupuesto autorizado
4. Empleados sin registro biometrico de asistencia laboral
5. Empleados con expediente incompleto o inexistente
6. Tiempo de deteccion de casos </t>
  </si>
  <si>
    <t>Compras/Tesoreria/GAYF</t>
  </si>
  <si>
    <t>Pago a Proveedores</t>
  </si>
  <si>
    <t>Pagos indebidos por ejecución anticipada sin soporte o incumpliendo condiciones contractuales</t>
  </si>
  <si>
    <t>Descripción:  Posibilidad de realizar pagos a proveedores o terceros de manera anticipada o con inusual prontitud, sin contar con el debido respaldo documental o sin el cumplimiento de las condiciones contractuales establecidas, como consecuencia de colusión interna, presiones indebidas de funcionarios o exigencias de proveedores
Causas: 
Debilidades en la verificación de cumplimiento contractual,
Falta de segregación de funciones en el ciclo de pagos
Presión interna para agilizar pagos
Ausencia de controles en la validación documental
Colusión entre empleados y proveedores
Manipulación de urgencias operativas
Prácticas corruptas (sobornos o incentivos)
Efecto:  Pérdidas  económicas/riesgo reputacional/riego legal x incumplimiento contractual/materializacion de actos de corrupcion/Debilitamiento del Control Interno</t>
  </si>
  <si>
    <t>Compras, Tesoreria, GAYF</t>
  </si>
  <si>
    <t>Fraude/Corrupcion/Legal/Reputacional/Operativo</t>
  </si>
  <si>
    <t>1. Políticas claras de pagos (no anticipos sin autorización formal)
2. Segregación de funciones (solicitud, validación, aprobación y pago)
3. Registro y control de excepciones debidamente autorizadas
4. valuación y debida diligencia de proveedores</t>
  </si>
  <si>
    <r>
      <t>1. Auditorías periódicas al proceso
2. Revisión de pagos anticipados o fuera de término
3. Reportes de pagos urgentes o excepcionales
4. Cruce entre pagos realizados y cumplimiento contractual
5. Monitoreo de patrones de pago por proveedor (</t>
    </r>
    <r>
      <rPr>
        <b/>
        <sz val="9"/>
        <color rgb="FF0070C0"/>
        <rFont val="Calibri Light"/>
        <family val="2"/>
        <scheme val="major"/>
      </rPr>
      <t xml:space="preserve">frecuencias de pago </t>
    </r>
    <r>
      <rPr>
        <sz val="9"/>
        <color rgb="FF0070C0"/>
        <rFont val="Calibri Light"/>
        <family val="2"/>
        <scheme val="major"/>
      </rPr>
      <t xml:space="preserve">(¿Hay proveedores con pagos demasiado frecuentes?), </t>
    </r>
    <r>
      <rPr>
        <b/>
        <sz val="9"/>
        <color rgb="FF0070C0"/>
        <rFont val="Calibri Light"/>
        <family val="2"/>
        <scheme val="major"/>
      </rPr>
      <t>montos de pago</t>
    </r>
    <r>
      <rPr>
        <sz val="9"/>
        <color rgb="FF0070C0"/>
        <rFont val="Calibri Light"/>
        <family val="2"/>
        <scheme val="major"/>
      </rPr>
      <t xml:space="preserve"> (Pagos fraccionados (muchos pagos pequeños), Promedio de pago por proveedor, Pagos por encima del promedio histórico), </t>
    </r>
    <r>
      <rPr>
        <b/>
        <sz val="9"/>
        <color rgb="FF0070C0"/>
        <rFont val="Calibri Light"/>
        <family val="2"/>
        <scheme val="major"/>
      </rPr>
      <t>Concentracion</t>
    </r>
    <r>
      <rPr>
        <sz val="9"/>
        <color rgb="FF0070C0"/>
        <rFont val="Calibri Light"/>
        <family val="2"/>
        <scheme val="major"/>
      </rPr>
      <t xml:space="preserve"> (Proveedores que concentran alto volumen de pagos), </t>
    </r>
    <r>
      <rPr>
        <b/>
        <sz val="9"/>
        <color rgb="FF0070C0"/>
        <rFont val="Calibri Light"/>
        <family val="2"/>
        <scheme val="major"/>
      </rPr>
      <t>Oportunidad del pago</t>
    </r>
    <r>
      <rPr>
        <sz val="9"/>
        <color rgb="FF0070C0"/>
        <rFont val="Calibri Light"/>
        <family val="2"/>
        <scheme val="major"/>
      </rPr>
      <t xml:space="preserve"> (Comparación de pagos vs condiciones contractuales) y </t>
    </r>
    <r>
      <rPr>
        <b/>
        <sz val="9"/>
        <color rgb="FF0070C0"/>
        <rFont val="Calibri Light"/>
        <family val="2"/>
        <scheme val="major"/>
      </rPr>
      <t>variaciones</t>
    </r>
    <r>
      <rPr>
        <sz val="9"/>
        <color rgb="FF0070C0"/>
        <rFont val="Calibri Light"/>
        <family val="2"/>
        <scheme val="major"/>
      </rPr>
      <t xml:space="preserve"> (Cambios bruscos en montos o frecuencia, Incrementos injustificados)</t>
    </r>
  </si>
  <si>
    <t>1. Suspensión de pagos irregulares
2. Recuperación de recursos pagados indebidamente
3. Investigación interna
4. Aplicación de sanciones disciplinarias
5. Ajustes en procesos y fortalecimiento de controles</t>
  </si>
  <si>
    <t>1. Pagos realizados antes de la recepción de bienes o servicios (pago sin orden de compra bloquear)
2. Aprobaciones de pago fuera del flujo normal
3. Pagos urgentes sin justificación válida
4. Proveedores que insisten en pagos anticipados
5. Aumento repentino en pagos a un proveedor específico (mas de 3 alerta)
6. Modificaciones contractuales no formalizadas
7. Intervención inusual de altos cargos para autorizar pagos
8. numero de hallazgos de auditoria (KRI)
9. Pagos en días no habituales (festivos, fines de semana)</t>
  </si>
  <si>
    <t>Compras/GAYF</t>
  </si>
  <si>
    <t>Fraccionamiento recurrente de compras</t>
  </si>
  <si>
    <t>Descripción:  Posibilidad de que se autoricen compras de bienes y/o servicios sin cumplir con las exigencias normativas internas y externas en cuanto a tipo de bien, servicio y montos establecidos, debido a debilidades en los controles, discrecionalidad en la aprobación y falta de supervisióncidos
Causas: 
Desconocimiento de normativas,
Abuso de autoridad,
Falta de ética o conflictos de interés,
Procedimientos no estandarizados,
Ausencia de controles de validación previa,
Falta de segregación de funciones,
Sistemas sin restricciones automáticas por montos,
Ausencia de trazabilidad digital
Presión por urgencias operativas (ej. insumos médicos),
Influencias externas o colusión con proveedores.
Efecto:  Pérdidas  económicas (Sobrecostos, pagos indebidos)/riesgo reputacional (Pérdida de confianza institucional)/riego legal (Sanciones por incumplimiento normativo)/operativo (Ineficiencia en adquisiciones)/social (Afectación en calidad de servicios de salud)</t>
  </si>
  <si>
    <t>Fraude/Corrupcion/LAFT</t>
  </si>
  <si>
    <t>1. Políticas y manuales de contratación formalmente aprobados
2. Definición de niveles de autorización por montos
3. Segregación de funciones (solicitud, evaluación, aprobación)
4. Registro de proveedores validados</t>
  </si>
  <si>
    <t>1. Auditorías periódicas a procesos de compras
2. Revisión de cumplimiento de topes y procesos (Ley)
3. Monitoreo de excepciones</t>
  </si>
  <si>
    <t>1. Procesos disciplinarios
2. Ajustes a procedimientos
3. Reporte a entes de control</t>
  </si>
  <si>
    <t>1. Implementar controles automáticos por montos en sistema
2. Fortalecer segregación de funciones
3. Capacitación en normativa de contratación y prevencion de riesgos
4. Implementar analítica de datos para detectar anomalías</t>
  </si>
  <si>
    <t>1. Compras recurrentes justo por debajo de los límites de aprobación
2. Uso excesivo de contrataciones directas
3. Proveedores recurrentes sin justificación técnica
4. Falta de documentación de soporte
5. Aprobaciones fuera de horario o en tiempos inusuales
6. Fraccionamiento de compras
7. Cantidad de procesos anulados o cuestionados</t>
  </si>
  <si>
    <t>USI, GTIC, Transparencia, Relaciones Laborales</t>
  </si>
  <si>
    <t>Seguridad de la Informacion/Transparencia</t>
  </si>
  <si>
    <t>Divulgación indebida de información confidencial</t>
  </si>
  <si>
    <t>Descripción:  Posibilidad de que funcionarios o empleados divulguen información confidencial de afiliados, proveedores o de la institución a terceros no autorizados o la utilicen para beneficio propio, debido a debilidades en los controles de acceso, cultura ética insuficiente y falta de monitoreo, generando ventajas indebidas
Causas: 
Falta de ética o integridad,
Conflictos de interés,
Incentivos económicos indebidos,
Políticas de confidencialidad débiles,
Falta de clasificación de la información,
Accesos excesivos (no basados en roles),
Sistemas sin controles robustos de acceso
Falta de trazabilidad de consultas,
Presión externa (proveedores, redes de fraude),
Debilidad en cultura organizacional
Efecto:  Pérdidas  económicas (Multas, demandas, pagos indebidos)/riesgo reputacional (Pérdida de confianza de afiliados)/riego legal (Sanciones por violación de protección de datos)/Riesgo operativo (violacion  de procesos internos)</t>
  </si>
  <si>
    <t>Todas las Areas</t>
  </si>
  <si>
    <t>Fraude/Corrupcion/LAFT/Ciberseguridad</t>
  </si>
  <si>
    <t>1. Políticas de confidencialidad y protección de datos
2. Acuerdos de confidencialidad firmados
3. Control de acceso basado en roles
4. Capacitación en manejo de información</t>
  </si>
  <si>
    <t>1. Monitoreo de accesos a sistemas
2. Auditorías de logs
3. Alertas por accesos inusuales o masivos</t>
  </si>
  <si>
    <t>1. Investigación interna
2. Sanciones disciplinarias
3. Revocación de accesos
4. Reporte a autoridades competentes</t>
  </si>
  <si>
    <t>1. Implementar control de accesos basado en roles (GTIC)
2. Implementar monitoreo automatizado de logs (GTIC)
3. Clasificación de la información institucional (Transparencia/USI)
4. Programa de cultura de confidencialidad (RRHH)
5. Revisiones periódicas de accesos (Auditoria/GTIC</t>
  </si>
  <si>
    <t>1. Accesos a información sin relación con funciones del cargo (Número de accesos indebidos detectados (KRI)
2. Descargas masivas de datos
3. Consultas repetitivas a un mismo afiliado sin justificación
4. Uso de dispositivos externos no autorizados
5. Envío de información a correos personales
6. % de usuarios con accesos privilegiados (KRI)
7. Cantidad de incidentes de seguridad de la información (KRI)</t>
  </si>
  <si>
    <t>Almacen/Bienes/GAYF/Relaciones Laborales</t>
  </si>
  <si>
    <t>Control de Inventarios</t>
  </si>
  <si>
    <t>Robo y hurto de inventarios (medicamentos, insumos médicos, equipos o materiales medicos, mobiliario)</t>
  </si>
  <si>
    <t>Descripción:  Posibilidad de pérdida de inventarios (medicamentos, insumos médicos, equipos o materiales medicos, mobiliario) como consecuencia de actos de robo o hurto, cometidos por personal interno o terceros, aprovechando debilidades en los controles de almacenamiento, registro, custodia y distribución, generando impactos financieros, operativos y reputacionales para la institución.
Causas: 
Falta de segregación de funciones en manejo de inventarios,
Debilidad en controles de acceso a bodegas o farmacias
Registros manuales o sistemas no integrados
Ausencia de inventarios cíclicos o auditorías periódicas
Cultura organizacional débil en ética y control
Falta de trazabilidad de insumos
Insuficiente control y registro del recorrido de los inventarios dentro de la institución
Infiltración de terceros o proveedores
Redes externas de comercialización ilegal de medicamentos
Condiciones de seguridad física deficientes
Efecto:  Pérdidas  económicas, por sustracción de inventarios/Desabastecimiento de insumos críticos para atención médica/Pérdida de confianza de afiliados, pacientes y entes reguladores/sanciones legales  por mala gestión de recursos públicos o institucionales/Afectación en la calidad y continuidad del servicio de salud</t>
  </si>
  <si>
    <t>1. Segregación de funciones (recepción, registro, custodia y despacho)
2. Control de acceso físico (tarjetas, biometría, cámaras)
3. Implementación de sistemas automatizados de inventario
4. Codificación y trazabilidad de insumos (lotes, fechas, responsables)
5. Políticas y procedimientos formales de manejo de inventarios
6. Evaluación y selección rigurosa de personal y proveedores</t>
  </si>
  <si>
    <t>1. Inventarios cíclicos y físicos periódicos
2. Conciliación entre inventario físico vs sistema
3. Auditorías internas y externas
4. Monitoreo de cámaras de seguridad
5. eportes de variaciones o diferencias</t>
  </si>
  <si>
    <t>1. Investigación de incidentes
2. Aplicación de sanciones disciplinarias
3. Ajustes contables debidamente soportados
4. Reforzamiento de controles débiles identificados
5. Denuncias ante autoridades competentes (si aplica)</t>
  </si>
  <si>
    <t>1. Implementar sistema digital integrado de inventarios
2. Establecer inventarios cíclicos obligatorios (mensuales/semanales según criticidad)
3. Fortalecer controles de acceso físico y videovigilancia
4. Capacitación continua en ética y prevención de fraude
5. Implementación de canal de denuncias anónimas
6. Rotación periódica de personal en funciones críticas
7. Evaluaciones sorpresa de auditoría</t>
  </si>
  <si>
    <t>Bienes/GAYF/RRHH/Etica/GTIC</t>
  </si>
  <si>
    <t>1. Diferencias recurrentes entre inventario físico y sistema
2. Consumos o salidas no justificadas
3. Accesos fuera de horario a bodegas o farmacias
4. Manipulación frecuente de registros
5. Personal renuente a rotación de funciones o vacaciones
6. Incremento inusual en pérdidas o ajustes
7. Falta de documentación en movimientos de inventario</t>
  </si>
  <si>
    <t>Cumplimiento</t>
  </si>
  <si>
    <t>Requisitos de Inscripcion</t>
  </si>
  <si>
    <t>Registro de proveedores con información inconsistente</t>
  </si>
  <si>
    <t>Descripción:  Posibilidad de vincular proveedores con información incompleta, falsa o inconsistente, debido a debilidades en los procesos de verificación, validación y debida diligencia, lo que puede facilitar la vinculación de terceros no idóneos o relacionados con actividades ilícitas, generando impactos legales, financieros y reputacionales para la institución.
Causas: 
Ausencia o debilidad en procesos de debida diligencia,
Falta de listas de verificación (checklists) obligatorias,
Presión por agilizar procesos de contratación,
Falta de validación independiente de la información,
Sistemas no integrados o sin controles automáticos,
Falta de capacitación del personal,
Proveedores que presentan documentación adulterada o falsa,
Uso de empresas fachada,
Cambios no reportados en la información del proveedor
Efecto:  Pérdidas  económicas/riesgo reputacional/riego legal/Interrupción en la prestación de servicios por fallas de proveedores/Posible vinculación con actividades ilícitas o lavado de activos</t>
  </si>
  <si>
    <t>Compras/legal/GAYF</t>
  </si>
  <si>
    <t>1. Procedimiento formal de vinculación de proveedores
2. Aplicación de debida diligencia
3. Uso de listas restrictivas y vinculantes
4. Checklists obligatorios de documentación
5. Validación de identidad, existencia legal y experiencia
6. Segregación de funciones en el proceso de registro y aprobación</t>
  </si>
  <si>
    <t>1. Auditorías periódicas de base de proveedores
2. Monitoreo de inconsistencias en información
3. Cruces con bases de datos externas
4. Revisión de documentación actualizada</t>
  </si>
  <si>
    <t>1. Suspensión o bloqueo de proveedores irregulares
2. Actualización o depuración de la base de datos
3. Investigación interna
4. Reporte a autoridades competentes (si aplica)
5. Ajuste y fortalecimiento de controles</t>
  </si>
  <si>
    <t xml:space="preserve">1. Implementar procesos robustos de debida diligencia
2. Digitalizar y centralizar el registro de proveedores
3. Integrar validaciones automáticas en sistemas
4. Capacitación continua en prevención de LAFT y fraude
5. Actualización periódica obligatoria de información
</t>
  </si>
  <si>
    <t>1. Documentación incompleta o inconsistente
2. Información que no coincide entre formularios y soportes
3. Proveedores con direcciones o teléfonos no verificables
4. Uso de cuentas bancarias a nombre de terceros
5. Cambios frecuentes en información clave
6. Resistencia a entregar documentación
7. Relación cercana con funcionarios de la institución</t>
  </si>
  <si>
    <t>Empresas que no estan inscritas como proveedores en el IHSS y si inscritos en ONCAE y se realizan compras.</t>
  </si>
  <si>
    <t>Descripción:  Empresas que no estan inscritas como proveedores en el IHSS y si inscritos en ONCAE y se realizan compras.
Causas: Incumplimiento u omision de los funcionarios y empleados rsponsables de la administracion de los procesos de compras y adquisiciones
Efecto:  Pérdidas  económicas/riesgo reputacional/riego legal/Ineficiencia administrativa</t>
  </si>
  <si>
    <t xml:space="preserve">1. Requerir a Control Patronal si este proveedor esta inscrito como patrono en el IHSS
2.Solicitar al proveedor realizar los tramites correspondientes para la inscripcion como proveedor del IHSS 
3.Confirmar con la Subgerencia de Recaudacion, sobre el estado Actual del Patrono, esto en cuanto a la Solvencia que mantiene con el Instituto, 
4.Solicitar a la Subgerencia de Contabilidad, la habilitacion del Bussines Patner, para poder enviar cotizaciones  las empresas que ya reunen con los requisitos.
</t>
  </si>
  <si>
    <t>Compras / RRHH</t>
  </si>
  <si>
    <t>Recepcion de donaciones, regalos o cualquier otro bien o servicio (Probidad Funcionaria)</t>
  </si>
  <si>
    <t>Recepción indebida de donaciones, regalos o beneficios por parte de funcionarios en el ejercicio de sus funciones</t>
  </si>
  <si>
    <t>Descripción:  Posibilidad de que funcionarios, empleados o terceros vinculados al IHSS, en el ejercicio de funciones públicas, reciban, soliciten o acepten donaciones, regalos, dádivas o cualquier otro beneficio, en dinero o en especie, provenientes de personas naturales o jurídicas (proveedores, afiliados, contratistas, intermediarios), con el fin de influir de manera indebida en la toma de decisiones, favorecer trámites, agilizar procesos o direccionar contrataciones.
Causas: 
Falta de políticas claras sobre conflicto de interés y recepción de regalos,
Debilidad en la cultura ética organizacional,
Ausencia de controles en la interacción con proveedores y terceros,
Discrecionalidad en procesos administrativos o médicos,
Debil supervisión jerárquica,
Falta de capacitación en normativa anticorrupción y LAFT,
Incentivos o  presión externa 
Efecto:  Pérdidas  económicas/Pérdida de confianza de afiliados, entes reguladores y ciudadanía/sanciones legales o administrativas por incumplimiento normativo/posible uso del IHSS como canal para legitimar recursos ilícitos/distorsión en la prestación de servicios</t>
  </si>
  <si>
    <t>1. Política formal de cero tolerancia a regalos y dádivas
2. Código de ética institucional Implementado por todos los colaboradores
3. Declaración obligatoria de conflictos de interés
4. Capacitación periódica en ética, anticorrupción y LAFT
5. Cláusulas anticorrupción en contratos con proveedores
6. Segregación de funciones en procesos críticos</t>
  </si>
  <si>
    <t>1. Auditorías internas y externas periódicas
2. Monitoreo de relaciones con proveedores
3. Canales de denuncia anónima
4. Revisión de decisiones atípicas o excepcionales
5. Análisis de patrones en contratación y prestación de servicios</t>
  </si>
  <si>
    <t xml:space="preserve">1. Investigaciones disciplinarias internas
2. Aplicación de sanciones administrativas o desvinculación
3. Reporte a autoridades competentes
4. Revisión y ajuste de procesos vulnerables5. </t>
  </si>
  <si>
    <t>1. Implementar política formal de regalos y hospitalidades
2. Fortalecer programa de ética institucional
3. Activar canal de denuncias confidencial
4. Auditorías focalizadas en áreas críticas</t>
  </si>
  <si>
    <t>1. Funcionarios con cambios injustificados en su nivel de vida
2. Relación cercana o recurrente con ciertos proveedores
3. Preferencia sistemática hacia un proveedor o contratista
4. Recepción de obsequios en fechas clave de contratación
5. Procesos aprobados con rapidez inusual o sin justificación técnica
6. Rechazo a rotación de funciones o vacaciones
7. Falta de trazabilidad en decisiones</t>
  </si>
  <si>
    <t>PEP</t>
  </si>
  <si>
    <t>Ser una Persona Expuesta Políticamente (PEP) , ser su cónyuge o persona vinculada por unión de hecho o parientes dentro del cuarto grado de consanguinidad o segundo de afinidad del proveedor ofertante</t>
  </si>
  <si>
    <t>Descripción:  Ser una Persona Expuesta Políticamente (PEP) , ser su cónyuge o persona vinculada por unión de hecho o parientes dentro del cuarto grado de consanguinidad o segundo de afinidad del proveedor ofertante
Causas: Realizar compras de bienes o servicios a empresas vinculadas a PEPs derivado de la falta de procedimientos preventivos para el no incumplimiento de la Ley de Contratacion del Estado
Efecto:  Pérdidas  económicas/riesgo reputacional/riego legal</t>
  </si>
  <si>
    <t>RRHH/Compras/GAYF/Auditoria/Comité de Etica</t>
  </si>
  <si>
    <t>Empleados</t>
  </si>
  <si>
    <t>Conflicto de interés por vínculos familiares en procesos de contratación con proveedores</t>
  </si>
  <si>
    <t>Descripción:  Posibilidad de que funcionarios o empleados del IHSS, que participan directa o indirectamente en procesos de precalificación de empresas, evaluación de propuestas, adjudicación o formalización contractual, mantengan relaciones de parentesco (hasta cuarto grado de consanguinidad, segundo de afinidad o vínculo por unión de hecho) con representantes legales, socios o beneficiarios reales de empresas proveedoras, generando un conflicto de interés no declarado.
Causas: 
Ausencia o debilidad en la política de conflictos de interés
Falta de mecanismos de verificación de vínculos entre funcionarios y proveedores
Omisión o falsedad en declaraciones de conflicto de interés
Cultura organizacional permisiva frente a prácticas indebidas
Insuficiente debida diligencia a proveedores (incluyendo beneficiarios finales)
Falta de segregación de funciones en procesos de contratación
Presión interna o externa para favorecer determinados proveedores
Efecto:  Contratación ineficiente, sobrecostos, pérdida de recursos públicos/deterioro de la confianza institucional y credibilidad ante entes de control/baja calidad en servicios contratados/favorecimiento indebido y captura de procesos por intereses particulares/Posible uso de proveedores vinculados para canalizar recursos ilícitos</t>
  </si>
  <si>
    <t>Compras/Legal/GAYF/RRHH</t>
  </si>
  <si>
    <t>1. Política formal de gestión de conflictos de interés
2. Declaración obligatoria, periódica y actualizada de conflictos de interés
3. Debida diligencia a proveedores incluyendo identificación de beneficiarios finales
4. Validación cruzada entre bases de datos de empleados y proveedores
5. Segregación de funciones en todas las etapas del proceso contractual
6. Cláusulas contractuales sobre transparencia y conflictos de interés
7. Capacitación constante en temas como ética pública, prevencion de LAFT y anticorrupción</t>
  </si>
  <si>
    <t>1. Auditorías internas enfocadas en procesos de contratación
2. Cruces de información (apellidos, relaciones societarias, direcciones, teléfonos)
3. Revisión de decisiones de adjudicación con patrones atípicos
4. Monitoreo de concentración de contratos en determinados proveedores
5. Canal de denuncias confidencial</t>
  </si>
  <si>
    <t>1. Investigación disciplinaria y administrativa
2. Declaración de nulidad del proceso o contrato afectado
3. Sanciones a funcionarios involucrados
4. Reporte a entes de control y autoridades competentes
5. Inclusión del proveedor en listas restrictivas internas
6. Fortalecimiento de controles y rediseño del proceso</t>
  </si>
  <si>
    <t>1. Implementar sistema de declaración digital de conflictos de interés
2. Integrar bases de datos de empleados y proveedores
3. Fortalecer debida diligencia de proveedores (incluye beneficiario final)
4. Establecer validaciones automáticas en procesos de contratación
5. Auditorías periódicas a contratación</t>
  </si>
  <si>
    <t>1. Proveedores recurrentemente adjudicados a pesar de ofertas no competitivas
2. Omisión o inconsistencias en declaraciones de conflicto de interés
3. Evaluaciones técnicas con puntajes injustificadamente altos
4. Participación de un mismo funcionario en múltiples etapas críticas del proceso
5. Información incompleta sobre beneficiarios finales del proveedor
6. Resistencia a procesos de auditoría o revisión</t>
  </si>
  <si>
    <t>Imposisicon de empleados, en procesos de evaluacion de lictaciones</t>
  </si>
  <si>
    <t>Descripción: Posibilidad de que funcionarios o terceros con capacidad de influencia impongan la designación de empleados que no cumplen con los requisitos técnicos, profesionales o de experiencia establecidos, para integrar ternas, comités evaluadores o instancias de decisión en procesos de licitación dentro del IHSS.
Causas: 
Falta de criterios claros y verificables para la selección de miembros de comités
Debilidad en los controles de idoneidad y perfiles profesionales
Interferencia indebida de altos mandos o actores externos
Conflictos de interés no declarados.
Ausencia de controles independientes en la conformación de comités.
Cultura organizacional permisiva frente a prácticas indebidas.
Falta de rotación del personal en funciones críticas.
Efecto:  Pérdidas  económicas/daño reputacional/sanciones legales y regulatorias/Incremento del riesgo de lavado de activos (LAFT) a través de proveedores favorecidos.</t>
  </si>
  <si>
    <t>Fraude/Corrupcion/LAFT/Cumplimiento/operacional</t>
  </si>
  <si>
    <t>1. Políticas formales de contratación pública.
2. Definición de perfiles técnicos para evaluadores.
3. Declaración obligatoria de conflicto de interés.
4. Segregación de funciones en el proceso de contratación.
5. Código de ética institucional.</t>
  </si>
  <si>
    <t>1. Auditorías internas y revisiones aleatorias de procesos de licitación.
2. Revisión documental de actas de conformación de comités.
3. Canales de denuncia (línea ética).</t>
  </si>
  <si>
    <t>1. Sanciones disciplinarias por incumplimiento.
2. Anulación de procesos de licitación viciados.
3. Reasignación de comités evaluadores.
4. eportes a entes reguladores y autoridades competentes.</t>
  </si>
  <si>
    <t>Contratacion y Gestion de Proveedores</t>
  </si>
  <si>
    <t>Fragmentación indebida de procesos de contratación y/o licitaciones para evadir controles legales y administrativos</t>
  </si>
  <si>
    <t>Descripción: Posibilidad de que funcionarios o áreas responsables fragmenten de manera deliberada y recurrente procesos de contratación, licitaciones o compras, con el objetivo de evadir los umbrales establecidos en la normativa vigente, omitir procedimientos de contratación pública más rigurosos o direccionar adjudicaciones a proveedores específicos, facilitando prácticas de corrupción, fraude y potencial uso de recursos para el lavado de activos.
Causas: 
Debilidad en los controles internos de contratación,
Falta de segregación de funciones,
Presión por ejecución presupuestaria,
Desconocimiento o interpretación indebida de la normativa de contratación pública en Honduras,
Conflictos de interés no declarados
Colusión entre funcionarios y proveedores
Falta de supervisión efectiva y auditoría continua
Cultura organizacional permisiva frente a prácticas irregulares
Efecto:  Pérdidas  económicas por adjudicacion indebida de contratos/Deterioro reputacional/ sanciones economicas y administrativas por parte de los entes supervisores/Posible canalización de recursos para actividades de lavado de activos/ineficiencia en la prestacion de servicios del IHSS</t>
  </si>
  <si>
    <t>Compras/GAYF/</t>
  </si>
  <si>
    <t>1. Políticas claras de contratación alineadas a la normativa hondureña
2. Definición de umbrales y prohibición explícita de fraccionamiento
3. Declaración obligatoria de conflictos de interés
4. Segregación de funciones en el proceso de compra
5. Plan anual de adquisiciones aprobado
6. Aplicación periódica de checklist de certificación interna del proceso de contratación</t>
  </si>
  <si>
    <t>1. Revisiones periódicas de compras fragmentadas por proveedor/objeto
2. Auditorías internas y externas
3. Cruce de datos para identificar patrones repetitivos de contratación
4. Indicadores de concentración de proveedores</t>
  </si>
  <si>
    <t>1. Procesos disciplinarios ante incumplimientos
2. Anulación de contratos irregulares
3. Reporte a entes reguladores
4. Fortalecimiento de controles posteriores a hallazgos</t>
  </si>
  <si>
    <t>1. Implementación de controles de alerta temprana
2. Capacitación al personal en normativa de contratación
3. Automatización del sistema de compras con alertas de fraccionamiento
4. Fortalecimiento de auditoría interna basada en riesgos
5. Integración de controles LAFT en proveedores
6. Implementación de analítica de datos para detección de patrones
7. Cultura organizacional de integridad y transparencia
8. Implementación de un sistema formal de evaluación y certificación interna de los procesos de contratación, basado en cumplimiento normativo, trazabilidad, segregación de funciones y controles antifraude y anticorrupción..(documentacion de procesos de contratacion, validacion de estos contra check list normativos, aprobacion formal de estos por Apoyo legal, auditoria, cumplimiento normativo)
9. Implementacion de KRI
% de contratos menores repetidos por proveedor
Número de procesos observados por auditoría
% de procesos con un solo oferente
Número de alertas de fraccionamiento detectadas
Tiempo promedio entre contrataciones similares</t>
  </si>
  <si>
    <t>1. Múltiples contratos menores adjudicados al mismo proveedor en corto tiempo
2. Compras repetitivas con objetos contractuales similares
3. Montos cercanos al límite máximo permitido para contratación directa
4. Falta de documentación justificativa
5. Proveedores recurrentes sin rotación
6. Procesos ejecutados con urgencia injustificada
7. Participación recurrente de los mismos funcionarios</t>
  </si>
  <si>
    <t>Falta de segregación de funciones entre el diseño de pliegos y la evaluación de ofertas en procesos de contratación</t>
  </si>
  <si>
    <t>Descripción: Posibilidad de que funcionarios o unidades administrativas participen simultáneamente en la elaboración de los términos de referencia o pliegos de condiciones y en la evaluación de las propuestas recibidas, generando un conflicto de interés estructural que puede facilitar el direccionamiento de procesos, favorecer indebidamente a determinados proveedores y debilitar la transparencia e imparcialidad en la adjudicación de contratos
Causas: 
Estructura organizacional inadecuada o limitada
Falta de políticas claras de segregación de funciones
Debilidad en los controles internos
Cultura organizacional permisiva
Concentración de poder en determinadas áreas o funcionarios
Efecto:  Pérdidas  económicas/riesgo reputacional por Direccionamiento de procesos de contratación/riego legal por ineficiencia en el uso de recursos publicos/Incremento del riesgo de fraude interno/Afectación en la calidad de servicios</t>
  </si>
  <si>
    <t>Fraude/Corrupcion/LAFT/conflicto de interes</t>
  </si>
  <si>
    <t>1. Política formal de segregación de funciones en contratación
2. Definición clara de roles (diseño, evaluación, aprobación)
3. Conformación de comités independientes
4. Declaración obligatoria de conflictos de interés
5. Rotación periódica de funcionarios en roles críticos</t>
  </si>
  <si>
    <t>1. Auditorías internas sobre cumplimiento de roles
2. Revisión documental de participación de funcionarios en procesos
3. Aplicación del checklist de certificación de contratación
4. Monitoreo de procesos con participación repetida de los mismos funcionarios</t>
  </si>
  <si>
    <t>1. Procesos disciplinarios
2. Invalidación de procesos viciados
3. Fortalecimiento de la estructura organizacional
4. Procesos de capacitacion</t>
  </si>
  <si>
    <t>1. Identificación de procesos con conflicto de funciones
2. Separación inmediata de roles en procesos activos
3. Emisión de lineamientos internos obligatorios
4. Rediseño del proceso de contratación con segregación formal
5. Capacitación en ética, fraude y corrupción
6. Implementación de controles automáticos en sistemas
7. Fortalecimiento de la estructura organizacional</t>
  </si>
  <si>
    <t>1. Mismos funcionarios participan en todas las fases del proceso
2. Falta de evidencia de separación de roles
3. Evaluaciones con criterios subjetivos o inconsistentes
4. Baja participación de oferentes
5. Repetición de adjudicaciones a ciertos proveedores
6. Procesos sin actas claras de evaluación</t>
  </si>
  <si>
    <t>Participación de empresas vinculadas en procesos de contratación, generando colusión y simulación de competencia</t>
  </si>
  <si>
    <t>Descripción: Posibilidad de que múltiples sociedades que participan en un mismo proceso de licitación o contratación con el sector público presenten vínculos entre sí (mismo domicilio, socios, representantes legales o directivos), con el propósito de simular competencia, manipular resultados del proceso, favorecer adjudicaciones predeterminadas o facilitar esquemas de fraude y lavado de activos a través de estructuras empresariales relacionadas.
Causas: 
Falta de debida diligencia profunda sobre proveedores
Ausencia de verificación de beneficiarios finales
Debilidad en el análisis de vínculos societarios
Falta de herramientas tecnológicas de análisis de datos
Omisión de controles en procesos de evaluación
Colusión entre funcionarios y proveedores
Uso de empresas fachada o relacionadas
Efecto:  Pérdidas  económicas/deterioro en la imageninstitucional/riego legal</t>
  </si>
  <si>
    <t>Compras/GTIC</t>
  </si>
  <si>
    <t>1. Implementación de debida diligencia de proveedores
2. Identificación de beneficiarios finales
3. Inclusión de cláusulas anticorrupción y anti-colusión
4. alidación de información en registros mercantiles</t>
  </si>
  <si>
    <t>1. Cruce de informacion de direcciones, socios y representantes legales
2. Uso de herramientas de analítica de datos
3. Revisión de patrones de participación en licitaciones
4. Aplicación del checklist de certificación de contratación</t>
  </si>
  <si>
    <t xml:space="preserve">1. Anulación de procesos viciados
2. Reporte a entes reguladores y autoridades competentes (cuando aplique)
3. Inclusión de proveedores en listas internas de riesgo
</t>
  </si>
  <si>
    <t>1. Revisión de procesos en curso para identificar vínculos
2. Solicitud de información ampliada a proveedores
3. Implementación de herramientas de análisis de vínculos societarios
4. Integración de controles LAFT en contratación
5. Fortalecimiento de bases de datos de proveedores
6. Convenios con entidades de registro mercantil
7. Desarrollo e implementación progresiva de modelos analíticos para la detección y predicción de patrones de colusión entre proveedores, basados en análisis de datos históricos, vínculos societarios y comportamiento en procesos de contratación.(empresas que siempre participan juntas, ofertas con diferencias minimas, rotacion de ganadores entre las mismas empresas, proveedores con vinculos ocultos)</t>
  </si>
  <si>
    <t>1. Empresas con el mismo domicilio o dirección
2. Coincidencia de socios, accionistas o representantes legales
3. Uso de correos electrónicos o teléfonos similares
4. Participación recurrente conjunta en múltiples procesos
5. Empresas creadas recientemente sin historial</t>
  </si>
  <si>
    <t>Planificacion de Compras</t>
  </si>
  <si>
    <t>Proveedor carece de experiencia con el producto, servicio, sector o industria, cuenta con personal insuficiente o mal calificado, no dispone de instalaciones adecuadas, o de alguna otra forma parece ser incapaz de cumplir con la operación propuesta</t>
  </si>
  <si>
    <t>Descripción: Proveedor carece de experiencia con el producto, servicio, sector o industria, cuenta con personal insuficiente o mal calificado, no dispone de instalaciones adecuadas, o de alguna otra forma parece ser incapaz de cumplir con la operación propuesta
Causas: Falta de controles o controles ineficientes en los procesos de contratacion de bienes o servicios
Efecto:  Pérdidas  económicas/riesgo reputacional/riego legal</t>
  </si>
  <si>
    <t>Adjudicación de contratos sin cumplimiento del procedimiento de contratación y evaluación técnica–económica</t>
  </si>
  <si>
    <t>Descripción: Posibilidad de que los procesos de contratación se ejecuten sin cumplir de manera adecuada con los procedimientos internos y la normativa de compras públicas aplicable, incluyendo omisiones en la evaluación técnica y económica, falta de conformación de comités evaluadores, ausencia de aprobación de estudios técnicos u otros requisitos formales, lo que puede derivar en la adjudicación de contratos a proponentes que no cumplen con los criterios establecidos en las bases de licitación, facilitando prácticas de fraude, corrupción y afectando la transparencia del proceso.
Causas: 
Debilidad en la aplicación de controles internos
Falta de supervisión y validación independiente
Presión por ejecutar presupuesto en plazos cortos
Desconocimiento o incumplimiento de normativa de contratación pública en Honduras
Falta de documentación y trazabilidad del proceso
Intervención indebida de funcionarios
Cultura organizacional permisiva frente a incumplimientos
Efecto:  Pérdida de recursos institucionales/Incremento del riesgo de fraude y corrupción/Deterioro de la confianza institucional/Afectación directa en la calidad de servicios</t>
  </si>
  <si>
    <t xml:space="preserve">1. Verificar que el proceso de licitación este actualizado
2. En caso de no estar actualizado, requerir al jefe inmediato se efectue una revisión del mismo y se requiera a OYM la actualización
3. Da cumplimiento al proceso </t>
  </si>
  <si>
    <t>1. Revisión de procesos recientes adjudicados
2. Validación de cumplimiento documental
3. Fortalecimiento de comités evaluadores
4. Digitalización de expedientes de contratación
5. Capacitación integral en normativa y controles
6. Integración con sistemas de control interno y cumplimiento
7. Implementacion de indicadore de riesgo (KRI) que incluya numero de procesos anulados por incumplimiento, numero de hallazgos de auditoria, % de expedientes completos.</t>
  </si>
  <si>
    <t>1. Procesos sin actas de evaluación técnica o económica
2. Documentación incompleta o inconsistente
3. Adjudicación a oferentes que no cumplen requisitos
4. Procesos realizados en tiempos inusualmente cortos
5. Intervención directa de autoridades sin soporte técnico</t>
  </si>
  <si>
    <t xml:space="preserve">Contratacion y Gestion de Proveedores/Pagos </t>
  </si>
  <si>
    <t>Definición y otorgamiento de anticipos contractuales desproporcionados sin garantías adecuadas de ejecución</t>
  </si>
  <si>
    <t>Descripción: Posibilidad de que en los procesos de contratación se establezcan y otorguen anticipos financieros a proveedores en proporciones excesivas o injustificadas, sin contar con mecanismos adecuados de garantía, seguimiento y control sobre la ejecución del contrato, lo que puede derivar en incumplimientos contractuales, apropiación indebida de recursos, fraude, actos de corrupción o utilización de los fondos para fines distintos, incluyendo posibles esquemas de lavado de activos.
Causas: 
Falta de políticas claras sobre anticipos contractuales
Debilidad en la evaluación financiera del proveedor
Ausencia de análisis de riesgo previo a otorgar anticipos
Presión por agilizar procesos o iniciar ejecución rápidamente
Falta de exigencia de garantías suficientes (fianzas, pólizas)
Deficiencias en la supervisión contractual
Colusión entre funcionarios y proveedores
Desconocimiento de buenas prácticas en gestión contractual
Efecto:  Pérdida o uso indebido de recursos públicos/Incumplimiento total o parcial del contrato/Dificultad para recuperar anticipos otorgados/Incremento del riesgo de fraude y corrupción/Posibles sanciones legales y administrativas/Afectación en la prestación de servicios/Riesgo reputacional para la institución/Uso indebido de fondos con fines de LAFT</t>
  </si>
  <si>
    <t>Compras/GAYF/Tesoreria</t>
  </si>
  <si>
    <t xml:space="preserve">1. Política institucional que limite porcentajes máximos de anticipos
2. Evaluación financiera y técnica del proveedor previa al anticipo
3. Exigencia obligatoria de garantías (fianzas, pólizas de cumplimiento)
4. Inclusión de cláusulas contractuales claras sobre uso del anticipo
5. Aprobación del anticipo por niveles jerárquicos definidos
</t>
  </si>
  <si>
    <t>1. Monitoreo del uso del anticipo contra avance físico del contrato
2. Revisiones periódicas por supervisión contractual
3. Auditorías financieras y de cumplimiento
4. Validación documental del uso de los recursos</t>
  </si>
  <si>
    <t>1. Ejecución de garantías en caso de incumplimiento
2. Suspensión de pagos adicionales
3. Acciones legales para recuperación de fondos
4. Sanciones a proveedores y funcionarios involucrados</t>
  </si>
  <si>
    <t>1. Revisión de contratos vigentes con anticipos otorgados
2. Validación de garantías existentes
3. Suspensión de anticipos no justificados
4. Emisión de política formal de anticipos
5. Fortalecimiento de supervisión contractual
6. Capacitación en gestión financiera de contratos
7. Integración de análisis de riesgo en decisiones de pago
8. Vinculación del anticipo al avance real del contrato (hitos)</t>
  </si>
  <si>
    <t>1. Anticipos con porcentajes elevados sin justificación técnica
2. Proveedores sin capacidad financiera que solicitan anticipos altos
3. Falta de garantías o garantías insuficientes
4. Retrasos en la ejecución del contrato tras recibir el anticipo
5. Uso no documentado de los fondos
6. Modificaciones contractuales para aumentar anticipos
7. Pagos anticipados con carácter de urgencia</t>
  </si>
  <si>
    <t>Inconsistencias documentales entre orden de compra, recepción, facturación y orden de pago que evidencian posibles alteraciones</t>
  </si>
  <si>
    <t>Descripción: Posibilidad de que existan diferencias, inconsistencias o alteraciones entre los documentos que soportan el proceso de adquisición y pago (orden de compra, informes de recepción de bienes o servicios, factura del proveedor y orden de pago), lo que puede evidenciar manipulación de información, pagos indebidos, recepción ficticia o parcial de bienes/servicios, facilitando la materialización de fraudes, actos de corrupción o el uso de la institución como medio para el lavado de activos.
Causas: 
Falta de integración entre sistemas administrativos y financieros
Debilidad en controles de validación documental
Ausencia de conciliaciones periódicas
Falta de segregación de funciones
Manipulación intencional de documentos
Presión para agilizar pagos
Deficiencias en supervisión y control interno
Baja cultura de control documental
Efecto:  Pérdida de recursos institucionales/Deterioro de la confianza institucional/Sanciones administrativas y legales/Fraude interno o colusión con proveedores/Riesgo de uso del sistema para LAFT</t>
  </si>
  <si>
    <t>Compras/GAIF/Tesoreria/Contabilidad</t>
  </si>
  <si>
    <t>1. Implementación de flujo de aprobación con validaciones obligatorias
2. Integración de sistemas (compras, almacén, contabilidad, tesorería)
3. Establecimiento de requisitos documentales mínimos para pago
4. Segregación de funciones en cada etapa del proceso
5. Uso de órdenes de compra preautorizadas</t>
  </si>
  <si>
    <t>1. Conciliación periódica entre: orden de compra, informe de recepcion, factura, orden de pago
2. Revisiones cruzadas antes de autorizar pagos
3. Auditorias internas
4. Alertas automáticas por diferencias en montos o cantidades</t>
  </si>
  <si>
    <t>1. Suspensión de pagos ante inconsistencias
2. Investigación de irregularidades detectadas
3. Ajustes contables y recuperación de pagos indebidos
4. Sanciones disciplinarias
5. Reporte a entes de control</t>
  </si>
  <si>
    <t>1. Revisión de pagos recientes
2. Validación documental previa a pagos en curso
3. Suspensión de pagos con inconsistencias
4. Implementación de controles automatizados de conciliación
5. Fortalecimiento de controles documentales
6. Capacitación al personal
7. Integración total de sistemas
8. Automatización de alertas de inconsistencias</t>
  </si>
  <si>
    <t>1. Diferencias en cantidades o montos entre documentos
2. Facturas con valores superiores a la orden de compra
3. Recepción de bienes/servicios no documentada
4. Órdenes de pago sin soporte completo
5. Cambios manuales o tachaduras en documentos
6. Pagos aprobados con carácter de urgencia
7. Proveedores con historial de inconsistencias</t>
  </si>
  <si>
    <t>Pagos de Contratos</t>
  </si>
  <si>
    <t>Pagos anticipados</t>
  </si>
  <si>
    <t>Descripción: Pagos fechados antes del vencimiento de la factura o realización de aumentos en las compensaciones antes de terminar un proyecto u otorgarse una concesión, contrato u otro tipo de acuerdo, incluso por trabajos o asesorías no realizadas.
Causas: Falta de controles o controles ineficientes en los procesos de contratacion de bienes o servicios asi como de su proceso de pago
Efecto:  Pérdidas  económicas/riesgo reputacional/riego legal</t>
  </si>
  <si>
    <t>Gestion de Contratos</t>
  </si>
  <si>
    <t>Ausencia de respaldos que evidencien una supervisión efectiva y en norma respecto de la ejecución del contrato.</t>
  </si>
  <si>
    <t>Descripción: Ausencia de respaldos que evidencien que la institución pública (directivos, comités o responsables del contrato) han realizado una supervisión efectiva y en norma respecto de la ejecución del contrato.
Causas: Falta de controles o controles ineficientes en los procesos de contratacion de bienes o servicios asi como de su proceso de pago
Efecto:  Pérdidas  económicas/riesgo reputacional/riego legal</t>
  </si>
  <si>
    <t>Debilidad en los sistemas de información que impide la trazabilidad de los procesos de contratación y ejecución contractual</t>
  </si>
  <si>
    <t>Descripción: Posibilidad de que los sistemas de información y registro institucional presenten deficiencias en su diseño, integración o funcionamiento, impidiendo garantizar la trazabilidad completa de los procesos de licitación, contratación y ejecución contractual, lo que dificulta la verificación, control y auditoría de las operaciones, facilitando la ocurrencia de errores, fraudes, actos de corrupción y el uso indebido de los recursos institucionales.
Causas: 
Sistemas informáticos obsoletos o no integrados
Procesos manuales o semi-manuales
Falta de digitalización de expedientes
Ausencia de controles automatizados
Deficiencias en el registro de información
Falta de inversión en tecnología
Baja capacitación del personal en uso de sistemas
Falta de gobierno de datos y controles de acceso
Efecto:  Pérdidas  económicas/Afectación en la transparencia institucional/Sanciones por incumplimiento normativo/Imposibilidad de rastrear decisiones y transacciones/Dificultad para detectar fraudes o irregularidades/Incremento del riesgo de corrupción/Pérdida de información crítica</t>
  </si>
  <si>
    <t>Compras/GAYF/Tesoreria/GTIC</t>
  </si>
  <si>
    <t>1. Implementación de sistemas integrados
2. Digitalización de expedientes de contratación
3. Definición de políticas de registro y trazabilidad
4. Control de accesos y perfiles de usuario
5. Estandarización de procesos y registros</t>
  </si>
  <si>
    <t>1. Auditorías de sistemas
2. Revisión de logs y trazabilidad de usuarios
3. Monitoreo de cambios en registros
4. Validación cruzada entre sistemas</t>
  </si>
  <si>
    <t>1. Recuperación de información (backups)
2. Ajustes en sistemas y procesos
3. Reprocesamiento de información incompleta
4. Sanciones por uso indebido de sistemas</t>
  </si>
  <si>
    <t xml:space="preserve">1. Diagnóstico de sistemas actuales
2. Identificación de brechas de trazabilidad
3. Implementación de controles manuales compensatorios
4. Digitalización de procesos críticos
5. Capacitación del personal
6. Automatización completa del ciclo de contratación y pagos
7. </t>
  </si>
  <si>
    <t>1. Información incompleta o inconsistente en sistemas
2. Falta de historial de cambios (logs)
3. Uso excesivo de procesos manuales
4. Accesos no autorizados o compartidos
5. Retrasos en generación de reportes
6. Dificultad para reconstruir procesos</t>
  </si>
  <si>
    <t>Manipulación de procesos de contratación mediante términos de referencia ambiguos y modificaciones injustificadas que restringen la libre concurrencia de oferentes</t>
  </si>
  <si>
    <t>Descripción: Posibilidad de que funcionarios o áreas responsables de los procesos de contratación diseñen, modifiquen o ajusten los términos de referencia, especificaciones técnicas o condiciones contractuales de manera discrecional, con el fin de favorecer a determinados proveedores, particularmente en la adquisición de servicios médicos, medicamentos, insumos hospitalarios o contratación de servicios para riesgos profesionales, limitando la competencia y transparencia del proceso.
Causas: 
Falta de estandarización en la elaboración de términos de referencia
Débil supervisión y control en procesos de contratación
Alta discrecionalidad de funcionarios responsables
Conflictos de interés no declarados
Presiones internas o externas (políticas o económicas)
Ausencia de trazabilidad en modificaciones contractuales
Deficiencias en la planificación de compras
Efecto:  Pérdidas  económicas/Pérdida de credibilidad institucional/Sanciones legales y regulatorias/Deterioro en la calidad de servicios/Riesgo de materialización de esquemas de corrupción y lavado de activos</t>
  </si>
  <si>
    <t>Compras/GAIF</t>
  </si>
  <si>
    <t>Fraude/Corrupcion/LAFT/operativo</t>
  </si>
  <si>
    <t>1. Estandarización de términos de referencia con plantillas aprobadas
2. Revisión legal obligatoria previa a la publicación
3. Declaración y gestión de conflictos de interés
4. Plan anual de adquisiciones aprobado
5. Segregación de funciones en el proceso de contratación
6. Uso de plataformas electrónicas de contratación pública
7. Politicas y Manuales de contratacion</t>
  </si>
  <si>
    <t>1. Auditorías internas periódicas a procesos de contratación
2. Revisión comparativa de procesos similares
3. Monitoreo de modificaciones contractuales
4. Indicadores de concentración de proveedores
5. Canales de denuncia</t>
  </si>
  <si>
    <t xml:space="preserve">1. Anulación de procesos viciados
2. Sanciones disciplinarias
3. Terminación contractual
4. Reportes a entes reguladores
</t>
  </si>
  <si>
    <t xml:space="preserve">1. Implementar herramientas tecnológicas para trazabilidad completa del proceso de contratación
2. Fortalecer la revisión independiente de términos de referencia
3. Establecer controles automatizados para detectar cambios injustificados
4. Rotación periódica del personal en áreas críticas
5. Capacitación continua en ética y prevención de corrupción
</t>
  </si>
  <si>
    <t>1. Términos de referencia excesivamente específicos o restrictivos
2. Baja participación de oferentes en procesos relevantes
3. Repetición frecuente de proveedores adjudicados
4. Modificaciones contractuales recurrentes sin justificación técnica
5. Relación personal o comercial entre funcionarios y proveedores
6. Ofertas con diferencias mínimas sospechosas
7. Procesos declarados desiertos y posteriormente adjudicados de forma directa</t>
  </si>
  <si>
    <t>Modificaciones sustanciales e injustificadas en las condiciones y/o requisitos contractuales establecidos inicialmente para el cumplimiento del contrato.</t>
  </si>
  <si>
    <t>Descripción: Modificaciones sustanciales e injustificadas en las condiciones y/o requisitos contractuales establecidos inicialmente para el cumplimiento del contrato. (Ejemplo: Ampliación de términos, prórrogas y adiciones injustificadas en el contrato).
Causas: Falta de controles o controles ineficientes en los procesos de contratacion de bienes o servicios
Efecto:  Pérdidas  económicas/riesgo reputacional/riego legal</t>
  </si>
  <si>
    <t>Revelacion, no autorizada, de informacion a determinada(s) empresa(s), en el marco de una licitación pública.</t>
  </si>
  <si>
    <t>Descripción: Funcionario que revela, de forma ilegal, información confidencial a determinada(s) empresa(s), en el marco de una licitación pública.
Causas: Falta de controles o controles ineficientes en los procesos de contratacion de bienes o servicios
Efecto:  Pérdidas  económicas/riesgo reputacional/riego legal</t>
  </si>
  <si>
    <t>Manejo de Informacion</t>
  </si>
  <si>
    <t>Aprobación, permanencia o contratación de proveedores que presentan información incompleta, falsa o manipulada respecto a su identidad, beneficiarios finales, situación financiera, antecedentes legales o cumplimiento normativo</t>
  </si>
  <si>
    <t>Descripción: Posibilidad de que se oculte, altere o manipule información relevante de proveedores durante su proceso de vinculación, actualización o evaluación, con el fin de aparentar cumplimiento de requisitos legales, contractuales o de debida diligencia, facilitando situaciones de fraude, corrupción o vinculación con actividades de lavado de activos y financiación del terrorismo (LA/FT).s
Causas: Falta de validación independiente de la información suministrada, debilidad en procesos de debida diligencia, conflictos de interés del personal encargado, controles manuales susceptibles de manipulación o ausencia de herramientas tecnológicas para verificación de informacion.
Efecto:  Multas y sanciones regulatorias / pérdidas por sobrecostos, facturación fraudulenta o contratos ficticios / Interrupción de contratos y procesos críticos.</t>
  </si>
  <si>
    <t>Fraude (interno o externo)/Corrupcion (si hy colusion)/LAFT</t>
  </si>
  <si>
    <t>1. Debida diligencia estructurasa (Proceso basado en riesgo, formal y aprobado, verificación sistemática y trazable y monitoreo continuo).
2. Identificación y verificación de beneficiario final.
3. Segregación de funciones en el proceso de vinculación y aprobación
4. Declaración y gestión de conflictos de interés
5. Auditorías periódicas a proveedores.
6. Política anticorrupción y canal de denuncias</t>
  </si>
  <si>
    <t>Compras, Control Patronal y RRHH</t>
  </si>
  <si>
    <t>PEPs</t>
  </si>
  <si>
    <t>Vinculación o permanencia de una PEP sin clasificación como tal en los sistemas internos, sin aplicación de debida diligencia incrementada ni aprobación de instancias superiores</t>
  </si>
  <si>
    <t>Descripción: Posibilidad de que el IHSS no identifique oportunamente a Personas Expuestas Políticamente (PEP) dentro de su base de datos de clientes, proveedores o empleados, debido a deficiencias en los procesos de debida diligencia, actualización o monitoreo.
Causas: Herramientas tecnológicas desactualizadas o inexistentes / Falta de actualización periódica de la base de datos / Ausencia de definición clara de qué es PEP en la política interna / Errores manuales en el registro de información / No identificación de beneficiarios finales relacionados con PEP / Falta de capacitación al personal encargado
Efecto:  Sanciones por incumplimiento del sistema de prevención LA/FT / Vinculación mediática con actos de corrupción / Multas, cancelación de contratos, pérdida de alianzas</t>
  </si>
  <si>
    <t>Lavado de activos, financiación del terrorismo, corrupción</t>
  </si>
  <si>
    <t>1. Actualización periódica (mínimo anual) de toda la base
2. Definición formal de PEP en política LA/FT.
3. Aplicación de debida diligencia incrementada para PEP
4. Auditoría periódica al proceso</t>
  </si>
  <si>
    <t>Control Patronal</t>
  </si>
  <si>
    <t>Aprobación y activación de clientes sin validación adecuada de identidad, actividad económica, origen de fondos, beneficiario final o información legal requerida</t>
  </si>
  <si>
    <t xml:space="preserve">Descripción: Posibilidad de que el IHSS registre y vincule clientes (Patrono) con información o documentación incompleta, falsa, adulterada o inconsistente, debido a fallas en los procesos de verificación y validación.
Causas: Debilidad en el proceso de conocimiento del cliente, procesos manuales sin controles automáticos, falta de capacitación del personal comercial, controles documentales no estandarizados.
Efecto:  Sanciones por incumplimiento del sistema LA/FT / Pérdidas por fraude o incobrabilidad / Responsabilidad administrativa o penal por omisión de controles / </t>
  </si>
  <si>
    <t xml:space="preserve"> fraude, lavado de activos, financiación del terrorismo (LA/FT) y sanciones regulatorias</t>
  </si>
  <si>
    <t xml:space="preserve">1. Procedimiento formal de conocimiento del cliente, basado en riesgo
2. Verificación de identidad
3. Consulta en bases de datos públicas y privadas
4. Capacitación al personal de Control Patronal en temas de prevención de  LAFT.
5. Auditorías periódicas a expedientes de clientes
</t>
  </si>
  <si>
    <t>Vinculación y operación de varios clientes aparentemente independientes que en realidad están relacionados estructural o económicamente, sin aplicación de controles de debida diligencia ni análisis de vinculación</t>
  </si>
  <si>
    <t>Descripción: Posibilidad de que el IHSS registre o mantenga vinculados múltiples clientes que comparten el mismo domicilio, socios, accionistas o representantes legales, sin que dichas coincidencias sean detectadas y analizadas oportunamente.
Causas: Ausencia de cruces automáticos en la base de datos, Falta de identificación de beneficiario final, Procesos manuales sin herramientas de analítica, 
Efecto:  Sanciones por debilidad en identificación de vinculados y beneficiarios finales / operaciones con estructuras societarias irregulares</t>
  </si>
  <si>
    <t>Fraude, LA/FT, incumplimiento regulatoio</t>
  </si>
  <si>
    <t>1. Identificación y validación de beneficiario final.
2. Declaración de vinculación económica o grupo empresarial
3. Cruces automáticos por direccion, telefono, socios, representantes legales
4. Reporte a la Seccion de Cumplimiento</t>
  </si>
  <si>
    <t>Cliente activo con documentación vencida o información desactualizada que continúa operando sin completar el proceso de actualización requerido</t>
  </si>
  <si>
    <t>Descripción: Posibilidad de que un cliente no responda, retrase o se niegue a suministrar información y/o documentación requerida para la actualización periódica de datos, impidiendo a la organización mantener un conocimiento adecuado y actualizado del cliente
Causas: Intención de ocultar cambios en beneficiarios finales o actividad económica, Deficiencia en seguimiento por parte del IHSS, Ausencia de bloqueos automáticos por documentación vencida, Comunicación ineficaz del requerimiento de actualización.
Efecto:  Incremento del riesgo de uso indebido de los servicios del IHSS/ Incremento de riesgo  de fraude/ Percepción de debilidad en controles internos/Incumplimiento de obligaciones de debida diligencia continua/Observaciones o sanciones del supervisor</t>
  </si>
  <si>
    <t>LA/FT, incumplimiento regulatoio</t>
  </si>
  <si>
    <t>1. Política formal de actualización periódica basada en nivel de riesgo.
2. Reporte mensual de clientes con documentación vencida.
3. Indicador de porcentaje de base actualizada
4. Evaluación de reporte interno como operación inusual (si aplica)</t>
  </si>
  <si>
    <t>Detección posterior a la vinculación de que un cliente, socio, beneficiario final o representante legal se encuentra reportado en listas de sanciones, listas vinculantes o listas de monitoreo</t>
  </si>
  <si>
    <t>Descripción: Posibilidad de el IHSS vincule o mantenga relaciones con clientes, socios o representantes legales que se encuentren incluidos en listas de cautela, restrictivas o de sanciones nacionales e internacionales, debido a fallas en los procesos de consulta, actualización o monitoreo
Causas: Falta de monitoreo periódico de la base de datos, herramientas tecnológicas desactualizadas, no validación de beneficiarios finales, Procesos manuales sin trazabilidad.
Efecto:  Sanciones económicas significativas/ obligación de reportes a autoridades competentes/  suspensión inmediata de operaciones vinculadas.</t>
  </si>
  <si>
    <t>1. Validación de beneficiario final y estructura accionaria.
2. Parametrización adecuada de coincidencias
3. Política clara de actuación ante coincidencias positivas</t>
  </si>
  <si>
    <t>Soborno para agilización indebida en el reconocimiento de prestaciones.</t>
  </si>
  <si>
    <t>Descripción: Posibilidad de que funcionarios o empleados de la institución soliciten, acepten o reciban pagos, dádivas o beneficios indebidos a cambio de acelerar, priorizar o influir en el trámite y reconocimiento de prestaciones económicas o previsionales, vulnerando los principios de legalidad, equidad y transparencia administrativa.
Causas: 
Procesos manuales o con baja trazabilidad,
Tiempos de respuesta prolongados,
Débil cultura ética,
Falta de rotación en puestos críticos,
Insuficiente supervisión jerárquica,
Inexistencia de monitoreo de tiempos por empleado,
Canal de denuncias poco difundido o sin confianza,
Efecto:  Financieros, reputacionales, legales y operativos</t>
  </si>
  <si>
    <t>Pensiones/gerencia IVM/Relaciones Laborales</t>
  </si>
  <si>
    <t>LA/FT, fraude, reputacional, legal, corrupcion</t>
  </si>
  <si>
    <t>1. Código de Ética y Conducta formalmente aprobado
2. Política anticorrupción y conflicto de interés
3. Automatización del sistema de radicación y asignación de expedientes
4. Tiempos estándar definidos por tipo de prestación.
5. Declaración anual obligatoria de conflicto de interés
6. Rotación periódica del personal en áreas críticas
7. Capacitación anual obligatoria en ética y anticorrupción</t>
  </si>
  <si>
    <t>1. Monitoreo mensual de tiempos promedio por funcionario
2. Reportes de variaciones atípicas en tiempos de aprobación
3. Auditoría interna semestral de expedientes aprobados
4. Canal de denuncias anónimo y confidencial.
5. Encuestas de satisfacción al afiliado post-trámite
6. Revisión de expedientes priorizados fuera del orden cronológico</t>
  </si>
  <si>
    <t>1. Apertura inmediata de investigación disciplinaria.
2. Suspensión preventiva del funcionario involucrado
3. Denuncia ante Ministerio Público cuando corresponda
4. Reversión administrativa si hubo alteración indebida
5. Refuerzo de controles en el área afectada</t>
  </si>
  <si>
    <t>_____________________________________</t>
  </si>
  <si>
    <t>Firma y sello Jefe del Área</t>
  </si>
  <si>
    <t>CHECKLIST DE CERTIFICACIÓN INTERNA</t>
  </si>
  <si>
    <t>Proceso: Contratación y Gestión de Proveedores</t>
  </si>
  <si>
    <t>Puedes usarlo como:</t>
  </si>
  <si>
    <t>Herramienta de auditoría interna</t>
  </si>
  <si>
    <t>Autoevaluación del área de compras</t>
  </si>
  <si>
    <t>Base para reducir riesgos en tu matriz</t>
  </si>
  <si>
    <t>1. 🔹 Planificación de Contrataciones</t>
  </si>
  <si>
    <t>✔ Existe un Plan Anual de Compras aprobado</t>
  </si>
  <si>
    <t>✔ Las contrataciones están alineadas al presupuesto</t>
  </si>
  <si>
    <t>✔ Se justifica la necesidad de cada contratación</t>
  </si>
  <si>
    <t>✔ No hay evidencia de fraccionamiento desde la planificación</t>
  </si>
  <si>
    <r>
      <t xml:space="preserve">🔴 </t>
    </r>
    <r>
      <rPr>
        <b/>
        <sz val="11"/>
        <color theme="1"/>
        <rFont val="Calibri"/>
        <family val="2"/>
        <scheme val="minor"/>
      </rPr>
      <t>Alerta:</t>
    </r>
    <r>
      <rPr>
        <sz val="11"/>
        <color theme="1"/>
        <rFont val="Calibri"/>
        <family val="2"/>
        <scheme val="minor"/>
      </rPr>
      <t xml:space="preserve"> múltiples procesos similares no consolidados</t>
    </r>
  </si>
  <si>
    <t>2. 🔹 Definición del Proceso de Compra</t>
  </si>
  <si>
    <t>✔ Está documentado el tipo de proceso (licitación, compra directa, etc.)</t>
  </si>
  <si>
    <t>✔ Se respeta la normativa de contratación pública aplicable en Honduras</t>
  </si>
  <si>
    <t>✔ Existe justificación formal del tipo de contratación elegido</t>
  </si>
  <si>
    <r>
      <t xml:space="preserve">🔴 </t>
    </r>
    <r>
      <rPr>
        <b/>
        <sz val="11"/>
        <color theme="1"/>
        <rFont val="Calibri"/>
        <family val="2"/>
        <scheme val="minor"/>
      </rPr>
      <t>Alerta:</t>
    </r>
    <r>
      <rPr>
        <sz val="11"/>
        <color theme="1"/>
        <rFont val="Calibri"/>
        <family val="2"/>
        <scheme val="minor"/>
      </rPr>
      <t xml:space="preserve"> uso recurrente de contratación directa sin sustento</t>
    </r>
  </si>
  <si>
    <t>3. 🔹 Términos de Referencia / Pliegos</t>
  </si>
  <si>
    <t>✔ Son claros, completos y no restrictivos</t>
  </si>
  <si>
    <t>✔ No favorecen a un proveedor específico</t>
  </si>
  <si>
    <t>✔ Incluyen criterios objetivos de evaluación</t>
  </si>
  <si>
    <r>
      <t xml:space="preserve">🔴 </t>
    </r>
    <r>
      <rPr>
        <b/>
        <sz val="11"/>
        <color theme="1"/>
        <rFont val="Calibri"/>
        <family val="2"/>
        <scheme val="minor"/>
      </rPr>
      <t>Alerta:</t>
    </r>
    <r>
      <rPr>
        <sz val="11"/>
        <color theme="1"/>
        <rFont val="Calibri"/>
        <family val="2"/>
        <scheme val="minor"/>
      </rPr>
      <t xml:space="preserve"> requisitos “a la medida” de un proveedor</t>
    </r>
  </si>
  <si>
    <t>4. 🔹 Debida Diligencia de Proveedores (Enfoque LAFT)</t>
  </si>
  <si>
    <t>✔ Identificación completa del proveedor</t>
  </si>
  <si>
    <t>✔ Validación legal y tributaria</t>
  </si>
  <si>
    <t>✔ Revisión en listas restrictivas/sanciones</t>
  </si>
  <si>
    <t>✔ Identificación de beneficiario final (cuando aplique)</t>
  </si>
  <si>
    <t>✔ Evaluación de riesgos LAFT</t>
  </si>
  <si>
    <r>
      <t xml:space="preserve">🔴 </t>
    </r>
    <r>
      <rPr>
        <b/>
        <sz val="11"/>
        <color theme="1"/>
        <rFont val="Calibri"/>
        <family val="2"/>
        <scheme val="minor"/>
      </rPr>
      <t>Alerta:</t>
    </r>
    <r>
      <rPr>
        <sz val="11"/>
        <color theme="1"/>
        <rFont val="Calibri"/>
        <family val="2"/>
        <scheme val="minor"/>
      </rPr>
      <t xml:space="preserve"> proveedores nuevos sin historial o con estructuras opacas</t>
    </r>
  </si>
  <si>
    <t>5. 🔹 Recepción y Evaluación de Ofertas</t>
  </si>
  <si>
    <t>✔ Existe comité evaluador formalmente designado</t>
  </si>
  <si>
    <t>✔ Se respeta la segregación de funciones</t>
  </si>
  <si>
    <t>✔ Evaluación documentada y trazable</t>
  </si>
  <si>
    <t>✔ Aplicación objetiva de criterios</t>
  </si>
  <si>
    <r>
      <t xml:space="preserve">🔴 </t>
    </r>
    <r>
      <rPr>
        <b/>
        <sz val="11"/>
        <color theme="1"/>
        <rFont val="Calibri"/>
        <family val="2"/>
        <scheme val="minor"/>
      </rPr>
      <t>Alerta:</t>
    </r>
    <r>
      <rPr>
        <sz val="11"/>
        <color theme="1"/>
        <rFont val="Calibri"/>
        <family val="2"/>
        <scheme val="minor"/>
      </rPr>
      <t xml:space="preserve"> mismo comité en todos los procesos / decisiones discrecionales</t>
    </r>
  </si>
  <si>
    <t>6. 🔹 Adjudicación</t>
  </si>
  <si>
    <t>✔ Existe acta formal de adjudicación</t>
  </si>
  <si>
    <t>✔ Justificación técnica y económica documentada</t>
  </si>
  <si>
    <t>✔ Aprobación por autoridad competente</t>
  </si>
  <si>
    <r>
      <t xml:space="preserve">🔴 </t>
    </r>
    <r>
      <rPr>
        <b/>
        <sz val="11"/>
        <color theme="1"/>
        <rFont val="Calibri"/>
        <family val="2"/>
        <scheme val="minor"/>
      </rPr>
      <t>Alerta:</t>
    </r>
    <r>
      <rPr>
        <sz val="11"/>
        <color theme="1"/>
        <rFont val="Calibri"/>
        <family val="2"/>
        <scheme val="minor"/>
      </rPr>
      <t xml:space="preserve"> adjudicaciones repetidas al mismo proveedor sin competencia</t>
    </r>
  </si>
  <si>
    <t>7. 🔹 Formalización del Contrato</t>
  </si>
  <si>
    <t>✔ Contrato firmado conforme a ley</t>
  </si>
  <si>
    <t>✔ Cláusulas anticorrupción y LAFT incluidas</t>
  </si>
  <si>
    <t>✔ Condiciones claras de entrega, pago y sanciones</t>
  </si>
  <si>
    <r>
      <t xml:space="preserve">🔴 </t>
    </r>
    <r>
      <rPr>
        <b/>
        <sz val="11"/>
        <color theme="1"/>
        <rFont val="Calibri"/>
        <family val="2"/>
        <scheme val="minor"/>
      </rPr>
      <t>Alerta:</t>
    </r>
    <r>
      <rPr>
        <sz val="11"/>
        <color theme="1"/>
        <rFont val="Calibri"/>
        <family val="2"/>
        <scheme val="minor"/>
      </rPr>
      <t xml:space="preserve"> contratos incompletos o modificados sin control</t>
    </r>
  </si>
  <si>
    <t>8. 🔹 Ejecución y Supervisión</t>
  </si>
  <si>
    <t>✔ Existe seguimiento del cumplimiento contractual</t>
  </si>
  <si>
    <t>✔ Validación de entrega de bienes/servicios</t>
  </si>
  <si>
    <t>✔ Evidencia documentada (informes, actas, etc.)</t>
  </si>
  <si>
    <r>
      <t xml:space="preserve">🔴 </t>
    </r>
    <r>
      <rPr>
        <b/>
        <sz val="11"/>
        <color theme="1"/>
        <rFont val="Calibri"/>
        <family val="2"/>
        <scheme val="minor"/>
      </rPr>
      <t>Alerta:</t>
    </r>
    <r>
      <rPr>
        <sz val="11"/>
        <color theme="1"/>
        <rFont val="Calibri"/>
        <family val="2"/>
        <scheme val="minor"/>
      </rPr>
      <t xml:space="preserve"> pagos sin evidencia de cumplimiento</t>
    </r>
  </si>
  <si>
    <t>9. 🔹 Pagos</t>
  </si>
  <si>
    <t>✔ Pagos autorizados por niveles definidos</t>
  </si>
  <si>
    <t>✔ Coincidencia entre contrato, factura y entrega</t>
  </si>
  <si>
    <t>✔ Controles antifraude en tesorería</t>
  </si>
  <si>
    <r>
      <t xml:space="preserve">🔴 </t>
    </r>
    <r>
      <rPr>
        <b/>
        <sz val="11"/>
        <color theme="1"/>
        <rFont val="Calibri"/>
        <family val="2"/>
        <scheme val="minor"/>
      </rPr>
      <t>Alerta:</t>
    </r>
    <r>
      <rPr>
        <sz val="11"/>
        <color theme="1"/>
        <rFont val="Calibri"/>
        <family val="2"/>
        <scheme val="minor"/>
      </rPr>
      <t xml:space="preserve"> pagos urgentes o fuera de proceso</t>
    </r>
  </si>
  <si>
    <t>10. 🔹 Control y Auditoría</t>
  </si>
  <si>
    <t>✔ Auditoría interna revisa periódicamente</t>
  </si>
  <si>
    <t>✔ Existen indicadores de riesgo (KRI)</t>
  </si>
  <si>
    <t>✔ Se documentan hallazgos y planes de acción</t>
  </si>
  <si>
    <r>
      <t xml:space="preserve">🔴 </t>
    </r>
    <r>
      <rPr>
        <b/>
        <sz val="11"/>
        <color theme="1"/>
        <rFont val="Calibri"/>
        <family val="2"/>
        <scheme val="minor"/>
      </rPr>
      <t>Alerta:</t>
    </r>
    <r>
      <rPr>
        <sz val="11"/>
        <color theme="1"/>
        <rFont val="Calibri"/>
        <family val="2"/>
        <scheme val="minor"/>
      </rPr>
      <t xml:space="preserve"> hallazgos recurrentes sin corrección</t>
    </r>
  </si>
  <si>
    <t>11. 🔹 Transparencia y Ética</t>
  </si>
  <si>
    <t>✔ Declaración de conflictos de interés firmada</t>
  </si>
  <si>
    <t>✔ Código de ética vigente y socializado</t>
  </si>
  <si>
    <t>✔ Canal de denuncias activo</t>
  </si>
  <si>
    <r>
      <t xml:space="preserve">🔴 </t>
    </r>
    <r>
      <rPr>
        <b/>
        <sz val="11"/>
        <color theme="1"/>
        <rFont val="Calibri"/>
        <family val="2"/>
        <scheme val="minor"/>
      </rPr>
      <t>Alerta:</t>
    </r>
    <r>
      <rPr>
        <sz val="11"/>
        <color theme="1"/>
        <rFont val="Calibri"/>
        <family val="2"/>
        <scheme val="minor"/>
      </rPr>
      <t xml:space="preserve"> funcionarios vinculados a proveedores</t>
    </r>
  </si>
  <si>
    <t>🔷 🔢 Sistema de Calificación</t>
  </si>
  <si>
    <t>Puedes usar este esquema simple:</t>
  </si>
  <si>
    <t>✔ Cumple = 1 punto</t>
  </si>
  <si>
    <t>❌ No cumple = 0 puntos</t>
  </si>
  <si>
    <t>Resultado:</t>
  </si>
  <si>
    <r>
      <t>90% – 100%</t>
    </r>
    <r>
      <rPr>
        <sz val="11"/>
        <color theme="1"/>
        <rFont val="Calibri"/>
        <family val="2"/>
        <scheme val="minor"/>
      </rPr>
      <t xml:space="preserve"> → Proceso Certificado (Riesgo Bajo)</t>
    </r>
  </si>
  <si>
    <r>
      <t>70% – 89%</t>
    </r>
    <r>
      <rPr>
        <sz val="11"/>
        <color theme="1"/>
        <rFont val="Calibri"/>
        <family val="2"/>
        <scheme val="minor"/>
      </rPr>
      <t xml:space="preserve"> → Aceptable con mejoras (Riesgo Medio)</t>
    </r>
  </si>
  <si>
    <r>
      <t>&lt; 70%</t>
    </r>
    <r>
      <rPr>
        <sz val="11"/>
        <color theme="1"/>
        <rFont val="Calibri"/>
        <family val="2"/>
        <scheme val="minor"/>
      </rPr>
      <t xml:space="preserve"> → No Certificado (Riesgo Alto)</t>
    </r>
  </si>
  <si>
    <t>🔷 Cómo lo conectas con tu matriz de riesgos</t>
  </si>
  <si>
    <t>Este checklist sirve directamente como:</t>
  </si>
  <si>
    <t>✔ Control detectivo + preventivo</t>
  </si>
  <si>
    <t>Ejemplo en tu riesgo anterior:</t>
  </si>
  <si>
    <t>“Aplicación periódica de checklist de certificación interna del proceso de contratación”</t>
  </si>
  <si>
    <t>✔ Indicador (KRI)</t>
  </si>
  <si>
    <t>% de cumplimiento del checklist</t>
  </si>
  <si>
    <t>Número de procesos certificados</t>
  </si>
  <si>
    <t>✔ Plan de mitigación</t>
  </si>
  <si>
    <t>“Implementar certificación interna trimestral del 100% de procesos de contratación”</t>
  </si>
  <si>
    <t>🔷 Valor agregado (clave)</t>
  </si>
  <si>
    <r>
      <t xml:space="preserve">Esto te permite pasar de controles </t>
    </r>
    <r>
      <rPr>
        <b/>
        <sz val="11"/>
        <color theme="1"/>
        <rFont val="Calibri"/>
        <family val="2"/>
        <scheme val="minor"/>
      </rPr>
      <t>teóricos</t>
    </r>
    <r>
      <rPr>
        <sz val="11"/>
        <color theme="1"/>
        <rFont val="Calibri"/>
        <family val="2"/>
        <scheme val="minor"/>
      </rPr>
      <t xml:space="preserve"> a controles:</t>
    </r>
  </si>
  <si>
    <t>Medibles</t>
  </si>
  <si>
    <t>Auditables</t>
  </si>
  <si>
    <t>Defendibles ante reguladores</t>
  </si>
  <si>
    <t>Plan de Acción correctiva/Mitigación</t>
  </si>
  <si>
    <t xml:space="preserve">Actividades </t>
  </si>
  <si>
    <t>Fecha de Inicio</t>
  </si>
  <si>
    <t xml:space="preserve">Fecha de finalización </t>
  </si>
  <si>
    <t>Responsable de ejecutar actividad</t>
  </si>
  <si>
    <t xml:space="preserve">Necesidad del Área </t>
  </si>
  <si>
    <t>Observaciones</t>
  </si>
  <si>
    <t>Evaluación/Comentarios</t>
  </si>
  <si>
    <t>Evidencia</t>
  </si>
  <si>
    <t>Pesos de controles</t>
  </si>
  <si>
    <t>Grados de automatización</t>
  </si>
  <si>
    <t>Tipo de Control</t>
  </si>
  <si>
    <t>Pesos de Aplicación</t>
  </si>
  <si>
    <t>Automatización</t>
  </si>
  <si>
    <t>Descripción</t>
  </si>
  <si>
    <t>Preventivo</t>
  </si>
  <si>
    <t>100% Automatizado</t>
  </si>
  <si>
    <t>Controles clave incorporados en el proceso/procedimiento, cuya aplicación es completamente automatizada. Están incorporados en la lógica de los sistemas.</t>
  </si>
  <si>
    <t>Detectivo</t>
  </si>
  <si>
    <t>Semi-Automatizado</t>
  </si>
  <si>
    <t>Controles clave incorporados en el proceso/procedimiento, cuya aplicación es parcialmente desarollada mediante sistemas informáticos. Depende de la habilidad de una persona para prevenir o detectar los errores ocurridos, utilizando información proveniente de un sistema.</t>
  </si>
  <si>
    <t>Correctivo</t>
  </si>
  <si>
    <t>Manual</t>
  </si>
  <si>
    <t>Controles claves incorporados en el proceso/procedimiento, cuya aplicación no considera uso de sistemas informaticos. Depende de la habilidad o experiencia de una persona para prevenir o detectar los errores ocurridos.</t>
  </si>
  <si>
    <t>Escala de efectividad de los Controles Preventivos</t>
  </si>
  <si>
    <t>Escala</t>
  </si>
  <si>
    <t>Nivel</t>
  </si>
  <si>
    <t>%</t>
  </si>
  <si>
    <t>Definición</t>
  </si>
  <si>
    <t>No existe un control preventivo.</t>
  </si>
  <si>
    <t>Es inefectivo</t>
  </si>
  <si>
    <t>El control existente no mitiga las causas que generan los riesgos relacionados autorizaciones, extravíos de bienes, prevención de la confidencialidad o privacidad de los derechos habientes, jubilados o pensionados, fallas en la asignación de los beneficios a los afiliados, carencia de investigación de los patronos o derechos habientes, carencia de controles oportunas para proteger el valor de los activos tangibles e intangibles del Instituto, medidas de control preventivas para impedir la interrupción de los sistemas y/o infraestructura tecnológica, los controles no previenen la ocurrencia de riesgos operacionales relacionados a su impacto y su probabilidad, no tiene el alcance requerido por la normativa o no están conforme a la normativa, diseño de control muy pobre o limitado en la efectividad operacional, y en general actividades que no previenen la ocurrencia de riesgos operacionales relacionados a su impacto y su probabilidad, de los diferentes riesgos operacionales relacionados a las principales actividades de los Regímenes del IHSS y áreas de la Administración central relacionados a pensiones, pagos, liquidaciones, servicios, negociaciones, ventas, y otras operaciones.</t>
  </si>
  <si>
    <t>Razonable</t>
  </si>
  <si>
    <t>Existen debilidades en el diseño e implementación de control y requieren modificaciones importantes para su mejoramiento, o están parcialmente de acuerdo con normativa, no están socializados e implementados, los controles reducen la probabilidad e impacto de manera combinada en un 30% relacionados autorizaciones, extravíos de bienes, prevención de la confidencialidad o privacidad de los derechos habientes, jubilados o pensionados, fallas en la asignación de los beneficios a los afiliados, carencia de investigación de los patronos o derechos habientes, carencia de controles oportunas para proteger el valor de los activos tangibles e intangibles del Instituto, medidas de control preventivas para impedir la interrupción de los sistemas y/o infraestructura tecnológica, los controles no que previenen la ocurrencia de riesgos operacionales relacionados a su impacto y su probabilidad, de los diferentes riesgos operacionales relacionados a las principales actividades de los Regímenes del IHSS y áreas de la Administración central relacionados a pensiones, pagos, liquidaciones, servicios, negociaciones, ventas, y otras operaciones.</t>
  </si>
  <si>
    <t>Parcialmente Efectivo</t>
  </si>
  <si>
    <t>Se realizan actividades de control que permiten mitigar el riesgo, preventiva de manera parcial, están aprobados y socializados, pero no están totalmente implementados. Los controles reducen la probabilidad e impacto en un 50%, de los diferentes riesgos operacionales relacionados a las principales actividades de los Regímenes del IHSS y áreas de la Administración central, relacionados a pensiones, pagos, liquidaciones, servicios, negociaciones, ventas, y otras operaciones.</t>
  </si>
  <si>
    <t>Moderado</t>
  </si>
  <si>
    <t>Se realizan actividades de control que permiten administrar o mitigar de manera preventiva los riesgos, existen situaciones que los controles no mitigan los riesgos en un nivel bajo respecto a las causas de su probabilidad de ocurrencia sin embargo, Los controles reducen la probabilidad e impacto en un 85% respecto a las situaciones relacionadas a las autorizaciones, extravíos de bienes, prevención de la confidencialidad o privacidad de los derechos habientes, jubilados o pensionados, fallas en la asignación de los beneficios a los afiliados, carencia de investigación de los patronos o derechos habientes, carencia de controles oportunas para proteger el valor de los activos tangibles e intangibles del Instituto, medidas de control preventivas para impedir la interrupción de los sistemas y/o infraestructura tecnológica, relacionados a las principales actividades de los Regímenes del IHSS y áreas de la Administración central relacionados a pensiones, pagos, liquidaciones, servicios, negociaciones, ventas, y otras operaciones.</t>
  </si>
  <si>
    <t>Se realizan actividades control que permiten mitigar o administrar de manera preventiva los riesgos y sus causas relacionadas a las autorizaciones de las operaciones /transacciones, extravíos de bienes, prevención de la confidencialidad o privacidad de los derechos habientes, jubilados o pensionados, fallas en la asignación de los beneficios a los afiliados, carencia de investigación de los patronos o derechos habientes, carencia de controles oportunas para proteger el valor de los activos tangibles e intangibles del Instituto, medidas de control preventivas para impedir la interrupción de los sistemas y/o infraestructura tecnológica, los controles previenen la ocurrencia de riesgos operaciones relacionados a su impacto y su probabilidad, Son monitoreados y auditados, además autoevaluados. Los controles reducen la probabilidad e impacto en un 90%, de los diferentes riesgos operacionales relacionados a las principales actividades de los Regímenes del IHSS y áreas de la Administración central, relacionados a pensiones, pagos, liquidaciones, servicios, negociaciones, ventas, y otras operaciones.</t>
  </si>
  <si>
    <t>Escala de efectividad de los Controles Detectivos</t>
  </si>
  <si>
    <t>No existe un control detectivo.</t>
  </si>
  <si>
    <t>Los controles existentes no mitigan o no identifican las fallas, revisión de; reportes de excepción, log de eventos de seguridad, u otras investigaciones ineficientes para detectar los riesgos relacionados autorizaciones, extravíos de bienes, vulneración de la seguridad o ciberseguridad de los sistemas de información, daños a los sistemas por ataques externos, errores o fallas relacionadas a servicios, modelos, otorgamiento de beneficios a derecho habientes, pensionados, jubilados, errores en contratos, errores en el registro de datos u operaciones, incumplimiento de plazos en obligaciones regulatorias, normativas, contractuales o legales, registros incorrectos en operaciones de patrono, derechohabientes, proveedores, mantenimiento oportuno para reanudar el funcionamiento de sistemas, hardware, y en general las actividades no detectan la ocurrencia de riesgos operacionales relacionados a su impacto y su probabilidad, de los diferentes riesgos operacionales relacionados a las principales actividades de los Regímenes del IHSS y áreas de la Administración central relacionados a pensiones, pagos, liquidaciones, servicios, negociaciones, ventas, y otras operaciones.</t>
  </si>
  <si>
    <t>Existen debilidades en el diseño e implementación de control y requieren modificaciones importantes para su mejoramiento, o están parcialmente de acuerdo con normativa, no están socializados e implementados, los controles reducen la probabilidad e impacto de manera combinada en un 30% relacionados autorizaciones, extravíos de bienes, prevención de la confidencialidad o privacidad de los derechos habientes, jubilados o pensionados, fallas en la asignación de los beneficios a los afiliados, carencia de investigación de los patronos o derechos habientes, carencia de controles oportunas para proteger el valor de los activos tangibles e intangibles del Instituto, medidas de control preventivas para impedir la interrupción de los sistemas y/o infraestructura tecnológica, los controles no que previenen la ocurrencia de riesgos operaciones relacionados a su impacto y su probabilidad.</t>
  </si>
  <si>
    <t>Se realizan actividades de control que permiten mitigar el riesgo, la identificación de fallas, reportes de excepción, log de eventos de seguridad, u otras investigaciones que detectan de manera parcial, están aprobados y socializados, pero no están totalmente implementados. Los controles reducen la probabilidad e impacto en un 50%, los riesgos relacionados autorizaciones, extravíos de bienes, vulneración de la seguridad o ciberseguridad de los sistemas de información, daños a los sistemas por ataques externos, errores o fallas relacionadas a servicios, modelos, otorgamiento de beneficios a derecho habientes, pensionados, jubilados, errores en contratos, errores en el registro de datos u operaciones, incumplimiento de plazos en obligaciones regulatorias, normativas, contractuales o legales, registros incorrectos en operaciones de patrono, derechohabientes, proveedores, mantenimiento oportuno para reanudar el funcionamiento de sistemas, hardware, y en general actividades que no detectan la ocurrencia de riesgos operacionales relacionados a su impacto y su probabilidad, de los diferentes riesgos operacionales relacionados a las principales actividades de los Regímenes del IHSS y áreas de la Administración central relacionados a pensiones, pagos, liquidaciones, servicios, negociaciones, ventas, y otras operaciones.</t>
  </si>
  <si>
    <t>Se realizan actividades de control que permiten la identificación de fallas, revisión de; reportes de excepción, log de eventos de seguridad, u otras investigaciones para administrar o mitigar de manera detectiva los riesgos, existen situaciones que los controles no mitigan los riesgos en un nivel bajo respecto a las causas de su probabilidad de ocurrencia sin embargo, Los controles reducen la probabilidad e impacto en un 90% respecto a las situaciones de los riesgos relacionados autorizaciones, extravíos de bienes, vulneración de la seguridad o ciberseguridad de los sistemas de información, daños a los sistemas por ataques externos, errores o fallas relacionadas a servicios, modelos, otorgamiento de beneficios a derecho habientes, pensionados, jubilados, errores en contratos, errores en el registro de datos u operaciones, incumplimiento de plazos en obligaciones regulatorias, normativas, contractuales o legales, registros incorrectos en operaciones de patrono, derechohabientes, proveedores, mantenimiento oportuno para reanudar el funcionamiento de sistemas, hardware, y en general actividades que no detectan la ocurrencia de riesgos operacionales relacionados a su impacto y su probabilidad, de los diferentes riesgos operacionales relacionados a las principales actividades de los Regímenes del IHSS y áreas de la Administración central relacionados a pensiones, pagos, liquidaciones, servicios, negociaciones, ventas, y otras operaciones.</t>
  </si>
  <si>
    <t>Se realizan actividades control para la identificación de fallas, revisión de; reportes de excepción, log de eventos de seguridad, u otras investigaciones que permiten mitigar o administrar de manera detectiva los riesgos respecto a las situaciones de los riesgos relacionados autorizaciones, extravíos de bienes, vulneración de la seguridad o ciberseguridad de los sistemas de información, daños a los sistemas por ataques externos, errores o fallas relacionadas a servicios, modelos, otorgamiento de beneficios a derecho habientes, pensionados, jubilados, errores en contratos, errores en el registro de datos u operaciones, incumplimiento de plazos en obligaciones regulatorias, normativas, contractuales o legales, registros incorrectos en operaciones de patrono, derechohabientes, proveedores, mantenimiento oportuno para reanudar el funcionamiento de sistemas, hardware, y en general actividades que no detectan la ocurrencia de riesgos operacionales relacionados a su impacto y su probabilidad, de los diferentes riesgos operacionales relacionados a las principales actividades de los Regímenes del IHSS y áreas de la Administración central relacionados a pensiones, pagos, liquidaciones, servicios, negociaciones, ventas, y otras operaciones., los controles previenen la ocurrencia de riesgos operaciones relacionados a su impacto y su probabilidad, Son monitoreados y auditados, además autoevaluados. Los controles reducen la probabilidad e impacto en un 90%.</t>
  </si>
  <si>
    <t>Escala de efectividad de los Controles Correctivos</t>
  </si>
  <si>
    <t>No existe un control correctivo.</t>
  </si>
  <si>
    <t>Las actividades de control para corregir las fallas o errores no son efectivas cuando son descubiertos los riesgos relacionados autorizaciones, extravíos de bienes, vulneración de la seguridad o ciberseguridad de los sistemas de información daños a los sistemas por ataques externos, errores o fallas relacionadas a servicios, modelos, otorgamiento de beneficios a derecho habientes, pensionados, jubilados, errores en contratos, errores en el registro de datos u operaciones, incumplimiento de plazos en obligaciones regulatorias, normativas, contractuales o legales, registros incorrectos en operaciones de patrono, derechohabientes, proveedores, mantenimiento oportuno para reanudar el funcionamiento de sistemas, hardware, y en general actividades que no corrigen la ocurrencia de riesgos operacionales relacionados a su impacto y su probabilidad, de los diferentes riesgos operacionales relacionados a las principales actividades de los Regímenes del IHSS y áreas de la Administración central relacionados a pensiones, pagos, liquidaciones, servicios, negociaciones, ventas, y otras operaciones.</t>
  </si>
  <si>
    <t>Se realizan actividades de control que permiten corregir para corregir las fallas o errores cuando son descubiertas de manera parcial, están aprobados y socializados, pero no están totalmente implementados. Los controles reducen la probabilidad e impacto en un 50%, mediante el desarrollo de acciones de corrección para mitigar los riesgos relacionados autorizaciones, extravíos de bienes, vulneración de la seguridad o ciberseguridad de los sistemas de información ,daños a los sistemas por ataques externos, errores o fallas relacionadas a servicios, modelos, otorgamiento de beneficios a derecho habientes, pensionados, jubilados, errores en contratos, errores en el registro de datos u operaciones, incumplimiento de plazos en obligaciones regulatorias, normativas, contractuales o legales, registros incorrectos en operaciones de patrono, derechohabientes, proveedores, mantenimiento oportuno para reanudar el funcionamiento de sistemas, hardware, y en general actividades que no corrigen la ocurrencia de riesgos operacionales relacionados a su impacto y su probabilidad, de los diferentes riesgos operacionales relacionados a las principales actividades de los Regímenes del IHSS y áreas de la Administración central relacionados a pensiones, pagos, liquidaciones, servicios, negociaciones, ventas, y otras operaciones.</t>
  </si>
  <si>
    <t>Se realizan actividades de control que permiten administrar o mitigar de manera correctiva para corregir las fallas o errores cuando son descubiertas relacionados los riesgos, existen situaciones que los controles no mitigan los riesgos en un nivel bajo respecto a las causas de su probabilidad de ocurrencia sin embargo, Los controles reducen la probabilidad e impacto en un 90% mediante acciones de corrección respecto a las situaciones de los riesgos relacionados autorizaciones, extravíos de bienes, vulneración de la seguridad o ciberseguridad de los sistemas de información, daños a los sistemas por ataques externos, errores o fallas relacionadas a servicios, modelos, otorgamiento de beneficios a derecho habientes, pensionados, jubilados, errores en contratos, errores en el registro de datos u operaciones, incumplimiento de plazos en obligaciones regulatorias, normativas, contractuales o legales, registros incorrectos en operaciones de patrono, derechohabientes, proveedores, mantenimiento oportuno para reanudar el funcionamiento de sistemas, hardware, y en general actividades que no corrigen la ocurrencia de riesgos operacionales relacionados a su impacto y su probabilidad, de los diferentes riesgos operacionales relacionados a las principales actividades de los Regímenes del IHSS y áreas de la Administración central relacionados a pensiones, pagos, liquidaciones, servicios, negociaciones, ventas, y otras operaciones.</t>
  </si>
  <si>
    <t>Se realizan actividades control que permiten mitigar o administrar para corregir las fallas o errores cuando son descubiertas relacionados los riesgos mediante acciones de corrección respecto a las situaciones de los riesgos relacionados autorizaciones, extravíos de bienes, vulneración de la seguridad o ciberseguridad de los sistemas de información, daños a los sistemas por ataques externos, errores o fallas relacionadas a servicios, modelos, otorgamiento de beneficios a derecho habientes, pensionados, jubilados, errores en contratos, errores en el registro de datos u operaciones, incumplimiento de plazos en obligaciones regulatorias, normativas, contractuales o legales, registros incorrectos en operaciones de patrono, derechohabientes, proveedores, mantenimiento oportuno para reanudar el funcionamiento de sistemas, hardware, y en general actividades que corrigen la ocurrencia de riesgos operacionales relacionados a su impacto y su probabilidad, de los diferentes riesgos operacionales relacionados a las principales actividades de los Regímenes del IHSS y áreas de la Administración central relacionados a pensiones, pagos, liquidaciones, servicios, negociaciones, ventas, y otras operaciones., los controles previenen la ocurrencia de riesgos operaciones relacionados a su impacto y su probabilidad, Son monitoreados y auditados, además autoevaluados. Los controles reducen la probabilidad e impacto en un 90%.</t>
  </si>
  <si>
    <t xml:space="preserve">Tipos de Riesgo </t>
  </si>
  <si>
    <t>Logo Tipos de Riesgos</t>
  </si>
  <si>
    <t>Respuesta al Riesgo</t>
  </si>
  <si>
    <t xml:space="preserve">Frecuencia e Impacto </t>
  </si>
  <si>
    <t>Nombre del Área</t>
  </si>
  <si>
    <t>Nombre corto para la matriz</t>
  </si>
  <si>
    <t>Financiamiento y Solvencia</t>
  </si>
  <si>
    <t>FyS</t>
  </si>
  <si>
    <t>Gerencia del Régimen de Invalidez, Vejez y Muerte</t>
  </si>
  <si>
    <t>G-IVM</t>
  </si>
  <si>
    <t>Inversiones o Mercado</t>
  </si>
  <si>
    <t>IoM</t>
  </si>
  <si>
    <t xml:space="preserve">Transferir/Compartir </t>
  </si>
  <si>
    <t>Subgerencia Pensiones</t>
  </si>
  <si>
    <t>PENSIONES</t>
  </si>
  <si>
    <t>Estratégico</t>
  </si>
  <si>
    <t>EST</t>
  </si>
  <si>
    <t>Aceptar</t>
  </si>
  <si>
    <t>Subgerencia Afiliación</t>
  </si>
  <si>
    <t>AFILIACION</t>
  </si>
  <si>
    <t>Operativo</t>
  </si>
  <si>
    <t>OP</t>
  </si>
  <si>
    <t xml:space="preserve">Mitigar </t>
  </si>
  <si>
    <t>Sección de Atención al Usuario Financiero</t>
  </si>
  <si>
    <t>SAUF</t>
  </si>
  <si>
    <t>Actuarial</t>
  </si>
  <si>
    <t>ACT</t>
  </si>
  <si>
    <t>Gerencia Administrativa y Financiera</t>
  </si>
  <si>
    <t>GAYF</t>
  </si>
  <si>
    <t>Liquidez</t>
  </si>
  <si>
    <t>LIQ</t>
  </si>
  <si>
    <t>Sub Gerencia RRHH</t>
  </si>
  <si>
    <t>SGRH</t>
  </si>
  <si>
    <t>Legal</t>
  </si>
  <si>
    <t>LEG</t>
  </si>
  <si>
    <t>Sub Gerencia de Recaudación</t>
  </si>
  <si>
    <t>RECAUDACION</t>
  </si>
  <si>
    <t>Reputacional</t>
  </si>
  <si>
    <t>REP</t>
  </si>
  <si>
    <t>Departamento de Control de Bienes</t>
  </si>
  <si>
    <t>BIENES</t>
  </si>
  <si>
    <t>CUMP</t>
  </si>
  <si>
    <t>Subgerencia de Presupuesto</t>
  </si>
  <si>
    <t>PRESUPUESTO</t>
  </si>
  <si>
    <t>Crédito</t>
  </si>
  <si>
    <t>CRED</t>
  </si>
  <si>
    <t>Subgerencia de Contabilidad</t>
  </si>
  <si>
    <t>CONTABILIDAD</t>
  </si>
  <si>
    <t>Tecnológico</t>
  </si>
  <si>
    <t>TEC</t>
  </si>
  <si>
    <t>Subgerencia de Suministros, Materiales y Compras</t>
  </si>
  <si>
    <t>COMPRAS</t>
  </si>
  <si>
    <t>OTR</t>
  </si>
  <si>
    <t>Gerencia de Tecnologías de la Información y Comunicación</t>
  </si>
  <si>
    <t>GTIC</t>
  </si>
  <si>
    <t>Unidad de Seguridad de la Información</t>
  </si>
  <si>
    <t>USI</t>
  </si>
  <si>
    <t>Unidad de Planificación y Evaluación de la Gestión</t>
  </si>
  <si>
    <t>UPEG</t>
  </si>
  <si>
    <t>Valor del Riesgo</t>
  </si>
  <si>
    <t>Unidad de Actuaría</t>
  </si>
  <si>
    <t>ACTUARIA</t>
  </si>
  <si>
    <t>Riesgo no significativo</t>
  </si>
  <si>
    <t>Unidad de Asesoría Legal</t>
  </si>
  <si>
    <t>LEGAL</t>
  </si>
  <si>
    <t>Unidad de Comunicación y Marca</t>
  </si>
  <si>
    <t>CYM</t>
  </si>
  <si>
    <t>Riesgo bajo</t>
  </si>
  <si>
    <t>Unidad de Gestión de Inversiones</t>
  </si>
  <si>
    <t>UGI</t>
  </si>
  <si>
    <t>Unidad de Cumplimiento Regulatorio</t>
  </si>
  <si>
    <t>UCR</t>
  </si>
  <si>
    <t>Riesgo Medio</t>
  </si>
  <si>
    <t>Sección de Cumplimiento</t>
  </si>
  <si>
    <t>Riesgo Alto</t>
  </si>
  <si>
    <t>Secretaría General</t>
  </si>
  <si>
    <t>SECRETARIA</t>
  </si>
  <si>
    <t>Departamento de Tesorería</t>
  </si>
  <si>
    <t>TESORERIA</t>
  </si>
  <si>
    <t>Riesgo Intolerable</t>
  </si>
  <si>
    <t>Escala de Efectividad</t>
  </si>
  <si>
    <t>Inefectivo</t>
  </si>
  <si>
    <t>Regímenes</t>
  </si>
  <si>
    <t>IVM-RP</t>
  </si>
  <si>
    <t>IVM-EM</t>
  </si>
  <si>
    <t>RP-EM</t>
  </si>
  <si>
    <t>Nivel de Automatización</t>
  </si>
  <si>
    <t>Automatizado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</si>
</sst>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sz val="11"/>
      <color theme="1"/>
      <name val="Arial"/>
      <family val="2"/>
    </font>
    <font>
      <sz val="8"/>
      <color rgb="FF000000"/>
      <name val="Arial"/>
      <family val="2"/>
    </font>
    <font>
      <b/>
      <sz val="11"/>
      <color theme="1"/>
      <name val="Arial"/>
      <family val="2"/>
    </font>
    <font>
      <b/>
      <sz val="9"/>
      <name val="Calibri Light"/>
      <family val="2"/>
      <scheme val="major"/>
    </font>
    <font>
      <sz val="9"/>
      <color theme="1"/>
      <name val="Calibri Light"/>
      <family val="2"/>
      <scheme val="major"/>
    </font>
    <font>
      <sz val="9"/>
      <name val="Calibri Light"/>
      <family val="2"/>
      <scheme val="major"/>
    </font>
    <font>
      <b/>
      <sz val="9"/>
      <color theme="1"/>
      <name val="Calibri Light"/>
      <family val="2"/>
      <scheme val="major"/>
    </font>
    <font>
      <sz val="11"/>
      <color theme="1"/>
      <name val="Calibri"/>
      <family val="2"/>
      <scheme val="minor"/>
    </font>
    <font>
      <sz val="8"/>
      <name val="Calibri"/>
      <family val="2"/>
      <scheme val="minor"/>
    </font>
    <font>
      <b/>
      <sz val="11"/>
      <color theme="1"/>
      <name val="Calibri"/>
      <family val="2"/>
      <scheme val="minor"/>
    </font>
    <font>
      <sz val="11"/>
      <color rgb="FF000000"/>
      <name val="Arial"/>
      <family val="2"/>
    </font>
    <font>
      <sz val="9"/>
      <color theme="1"/>
      <name val="Gill Sans MT"/>
      <family val="2"/>
    </font>
    <font>
      <b/>
      <sz val="10"/>
      <name val="Gill Sans MT"/>
      <family val="2"/>
    </font>
    <font>
      <b/>
      <sz val="11"/>
      <name val="Gill Sans MT"/>
      <family val="2"/>
    </font>
    <font>
      <sz val="11"/>
      <name val="Gill Sans MT"/>
      <family val="2"/>
    </font>
    <font>
      <b/>
      <sz val="7"/>
      <color rgb="FF1F3864"/>
      <name val="Times New Roman"/>
      <family val="1"/>
    </font>
    <font>
      <b/>
      <sz val="7"/>
      <color indexed="62"/>
      <name val="Times New Roman"/>
      <family val="1"/>
    </font>
    <font>
      <sz val="11"/>
      <name val="Times New Roman"/>
      <family val="1"/>
    </font>
    <font>
      <b/>
      <sz val="11"/>
      <color indexed="62"/>
      <name val="Times New Roman"/>
      <family val="1"/>
    </font>
    <font>
      <sz val="11"/>
      <color theme="1"/>
      <name val="Times New Roman"/>
      <family val="1"/>
    </font>
    <font>
      <b/>
      <sz val="11"/>
      <name val="Times New Roman"/>
      <family val="1"/>
    </font>
    <font>
      <sz val="11"/>
      <color rgb="FF1F3864"/>
      <name val="Times New Roman"/>
      <family val="1"/>
    </font>
    <font>
      <b/>
      <sz val="11"/>
      <color rgb="FF000000"/>
      <name val="Times New Roman"/>
      <family val="1"/>
    </font>
    <font>
      <sz val="11"/>
      <color rgb="FF000000"/>
      <name val="Times New Roman"/>
      <family val="1"/>
    </font>
    <font>
      <b/>
      <sz val="11"/>
      <color theme="1"/>
      <name val="Times New Roman"/>
      <family val="1"/>
    </font>
    <font>
      <b/>
      <sz val="9"/>
      <color rgb="FF0070C0"/>
      <name val="Calibri Light"/>
      <family val="2"/>
      <scheme val="major"/>
    </font>
    <font>
      <sz val="9"/>
      <color rgb="FF0070C0"/>
      <name val="Calibri Light"/>
      <family val="2"/>
      <scheme val="major"/>
    </font>
    <font>
      <b/>
      <sz val="24"/>
      <color theme="1"/>
      <name val="Calibri"/>
      <family val="2"/>
      <scheme val="minor"/>
    </font>
    <font>
      <b/>
      <sz val="18"/>
      <color theme="1"/>
      <name val="Calibri"/>
      <family val="2"/>
      <scheme val="minor"/>
    </font>
    <font>
      <b/>
      <sz val="13.5"/>
      <color theme="1"/>
      <name val="Calibri"/>
      <family val="2"/>
      <scheme val="minor"/>
    </font>
    <font>
      <sz val="9"/>
      <color rgb="FFFF0000"/>
      <name val="Calibri Light"/>
      <family val="2"/>
      <scheme val="major"/>
    </font>
    <font>
      <b/>
      <sz val="9"/>
      <color rgb="FFFF0000"/>
      <name val="Calibri Light"/>
      <family val="2"/>
      <scheme val="major"/>
    </font>
    <font>
      <sz val="9"/>
      <color theme="9" tint="-0.249977111117893"/>
      <name val="Calibri Light"/>
      <family val="2"/>
      <scheme val="major"/>
    </font>
    <font>
      <b/>
      <sz val="9"/>
      <color theme="9" tint="-0.249977111117893"/>
      <name val="Calibri Light"/>
      <family val="2"/>
      <scheme val="major"/>
    </font>
  </fonts>
  <fills count="10">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79995117038483843"/>
        <bgColor indexed="64"/>
      </patternFill>
    </fill>
    <fill>
      <patternFill patternType="solid">
        <fgColor rgb="FFFFC000"/>
        <bgColor indexed="64"/>
      </patternFill>
    </fill>
    <fill>
      <patternFill patternType="solid">
        <fgColor theme="9" tint="0.399975585192419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ck">
        <color rgb="FF808080"/>
      </left>
      <right style="thick">
        <color rgb="FF808080"/>
      </right>
      <top style="thick">
        <color rgb="FF808080"/>
      </top>
      <bottom/>
      <diagonal/>
    </border>
    <border>
      <left/>
      <right/>
      <top style="thick">
        <color rgb="FF808080"/>
      </top>
      <bottom style="thick">
        <color rgb="FF808080"/>
      </bottom>
      <diagonal/>
    </border>
    <border>
      <left style="medium">
        <color theme="0" tint="-0.499984740745262"/>
      </left>
      <right/>
      <top style="medium">
        <color theme="0" tint="-0.499984740745262"/>
      </top>
      <bottom/>
      <diagonal/>
    </border>
    <border>
      <left/>
      <right style="medium">
        <color theme="0" tint="-0.499984740745262"/>
      </right>
      <top style="medium">
        <color theme="0" tint="-0.499984740745262"/>
      </top>
      <bottom/>
      <diagonal/>
    </border>
    <border>
      <left style="thick">
        <color rgb="FF808080"/>
      </left>
      <right style="thick">
        <color rgb="FF808080"/>
      </right>
      <top/>
      <bottom style="thick">
        <color rgb="FF808080"/>
      </bottom>
      <diagonal/>
    </border>
    <border>
      <left/>
      <right/>
      <top/>
      <bottom style="thick">
        <color rgb="FF808080"/>
      </bottom>
      <diagonal/>
    </border>
    <border>
      <left style="medium">
        <color theme="0" tint="-0.499984740745262"/>
      </left>
      <right/>
      <top/>
      <bottom style="medium">
        <color theme="0" tint="-0.499984740745262"/>
      </bottom>
      <diagonal/>
    </border>
    <border>
      <left/>
      <right style="medium">
        <color theme="0" tint="-0.499984740745262"/>
      </right>
      <top/>
      <bottom style="medium">
        <color theme="0" tint="-0.499984740745262"/>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8" fillId="0" borderId="0" applyFont="0" applyFill="0" applyBorder="0" applyAlignment="0" applyProtection="0"/>
  </cellStyleXfs>
  <cellXfs count="187">
    <xf numFmtId="0" fontId="0" fillId="0" borderId="0" xfId="0"/>
    <xf numFmtId="0" fontId="3" fillId="0" borderId="0" xfId="0" applyFont="1"/>
    <xf numFmtId="0" fontId="1" fillId="0" borderId="0" xfId="0" applyFont="1"/>
    <xf numFmtId="0" fontId="2" fillId="0" borderId="0" xfId="0" applyFont="1" applyAlignment="1">
      <alignment horizontal="justify" vertical="center" readingOrder="1"/>
    </xf>
    <xf numFmtId="0" fontId="5" fillId="0" borderId="1" xfId="0" applyFont="1" applyBorder="1" applyAlignment="1" applyProtection="1">
      <alignment horizontal="center" vertical="center" wrapText="1"/>
      <protection locked="0"/>
    </xf>
    <xf numFmtId="0" fontId="5" fillId="0" borderId="3" xfId="0" applyFont="1" applyBorder="1" applyAlignment="1" applyProtection="1">
      <alignment horizontal="center" vertical="center" wrapText="1"/>
      <protection locked="0"/>
    </xf>
    <xf numFmtId="0" fontId="5" fillId="0" borderId="1" xfId="0" applyFont="1" applyBorder="1" applyAlignment="1" applyProtection="1">
      <alignment horizontal="justify" vertical="center" wrapText="1"/>
      <protection locked="0"/>
    </xf>
    <xf numFmtId="0" fontId="5" fillId="0" borderId="0" xfId="0" applyFont="1" applyAlignment="1">
      <alignment horizontal="center" vertical="center" wrapText="1"/>
    </xf>
    <xf numFmtId="0" fontId="4" fillId="2" borderId="2" xfId="0" applyFont="1" applyFill="1" applyBorder="1" applyAlignment="1" applyProtection="1">
      <alignment horizontal="center" vertical="center" wrapText="1"/>
      <protection locked="0"/>
    </xf>
    <xf numFmtId="0" fontId="5" fillId="0" borderId="0" xfId="0" applyFont="1" applyAlignment="1" applyProtection="1">
      <alignment vertical="center" wrapText="1"/>
      <protection locked="0"/>
    </xf>
    <xf numFmtId="0" fontId="5" fillId="0" borderId="0" xfId="0" applyFont="1" applyAlignment="1">
      <alignment vertical="center" wrapText="1"/>
    </xf>
    <xf numFmtId="0" fontId="6" fillId="0" borderId="0" xfId="0" applyFont="1" applyAlignment="1" applyProtection="1">
      <alignment vertical="center" wrapText="1"/>
      <protection locked="0"/>
    </xf>
    <xf numFmtId="0" fontId="5" fillId="0" borderId="0" xfId="0" applyFont="1" applyAlignment="1" applyProtection="1">
      <alignment horizontal="justify" vertical="center" wrapText="1"/>
      <protection locked="0"/>
    </xf>
    <xf numFmtId="0" fontId="5" fillId="0" borderId="0" xfId="0" applyFont="1" applyAlignment="1" applyProtection="1">
      <alignment horizontal="center" vertical="center" wrapText="1"/>
      <protection locked="0"/>
    </xf>
    <xf numFmtId="14" fontId="5" fillId="0" borderId="0" xfId="0" applyNumberFormat="1" applyFont="1" applyAlignment="1" applyProtection="1">
      <alignment vertical="center" wrapText="1"/>
      <protection locked="0"/>
    </xf>
    <xf numFmtId="14" fontId="5" fillId="0" borderId="0" xfId="0" applyNumberFormat="1" applyFont="1" applyAlignment="1" applyProtection="1">
      <alignment horizontal="justify" vertical="center" wrapText="1"/>
      <protection locked="0"/>
    </xf>
    <xf numFmtId="0" fontId="7" fillId="0" borderId="0" xfId="0" applyFont="1" applyAlignment="1" applyProtection="1">
      <alignment vertical="center" wrapText="1"/>
      <protection locked="0"/>
    </xf>
    <xf numFmtId="0" fontId="0" fillId="0" borderId="0" xfId="0" applyAlignment="1">
      <alignment vertical="center"/>
    </xf>
    <xf numFmtId="0" fontId="0" fillId="0" borderId="1" xfId="0" applyBorder="1" applyAlignment="1">
      <alignment vertical="center" wrapText="1"/>
    </xf>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vertical="center" wrapText="1"/>
    </xf>
    <xf numFmtId="9" fontId="1" fillId="0" borderId="0" xfId="0" applyNumberFormat="1" applyFont="1" applyAlignment="1">
      <alignment horizontal="center" vertical="center" wrapText="1"/>
    </xf>
    <xf numFmtId="9" fontId="1" fillId="0" borderId="0" xfId="1" applyFont="1"/>
    <xf numFmtId="0" fontId="5" fillId="4" borderId="3" xfId="0" applyFont="1" applyFill="1" applyBorder="1" applyAlignment="1" applyProtection="1">
      <alignment horizontal="center" vertical="center" wrapText="1"/>
      <protection locked="0"/>
    </xf>
    <xf numFmtId="0" fontId="5" fillId="4" borderId="1" xfId="0" applyFont="1" applyFill="1" applyBorder="1" applyAlignment="1" applyProtection="1">
      <alignment horizontal="center" vertical="center" wrapText="1"/>
      <protection locked="0"/>
    </xf>
    <xf numFmtId="0" fontId="10" fillId="0" borderId="1" xfId="0" applyFont="1" applyBorder="1" applyAlignment="1">
      <alignment horizontal="center" vertical="center"/>
    </xf>
    <xf numFmtId="0" fontId="0" fillId="0" borderId="1" xfId="0" applyBorder="1" applyAlignment="1">
      <alignment vertical="center"/>
    </xf>
    <xf numFmtId="0" fontId="10" fillId="0" borderId="1" xfId="0" applyFont="1" applyBorder="1" applyAlignment="1">
      <alignment vertical="center"/>
    </xf>
    <xf numFmtId="0" fontId="0" fillId="0" borderId="1" xfId="0" applyBorder="1" applyAlignment="1">
      <alignment horizontal="center" vertical="center"/>
    </xf>
    <xf numFmtId="9" fontId="0" fillId="0" borderId="1" xfId="0" applyNumberFormat="1" applyBorder="1" applyAlignment="1">
      <alignment horizontal="center" vertical="center"/>
    </xf>
    <xf numFmtId="0" fontId="5" fillId="0" borderId="7" xfId="0" applyFont="1" applyBorder="1" applyAlignment="1" applyProtection="1">
      <alignment horizontal="center" vertical="center" wrapText="1"/>
      <protection locked="0"/>
    </xf>
    <xf numFmtId="14" fontId="5" fillId="0" borderId="1" xfId="0" applyNumberFormat="1" applyFont="1" applyBorder="1" applyAlignment="1" applyProtection="1">
      <alignment horizontal="center" vertical="center" wrapText="1"/>
      <protection locked="0"/>
    </xf>
    <xf numFmtId="0" fontId="5" fillId="0" borderId="4" xfId="0" applyFont="1" applyBorder="1" applyAlignment="1" applyProtection="1">
      <alignment horizontal="center" vertical="center" wrapText="1"/>
      <protection locked="0"/>
    </xf>
    <xf numFmtId="0" fontId="4" fillId="2" borderId="5" xfId="0" applyFont="1" applyFill="1" applyBorder="1" applyAlignment="1" applyProtection="1">
      <alignment horizontal="center" vertical="center" wrapText="1"/>
      <protection locked="0"/>
    </xf>
    <xf numFmtId="0" fontId="4" fillId="2" borderId="8" xfId="0" applyFont="1" applyFill="1" applyBorder="1" applyAlignment="1" applyProtection="1">
      <alignment horizontal="center" vertical="center" wrapText="1"/>
      <protection locked="0"/>
    </xf>
    <xf numFmtId="0" fontId="6" fillId="4" borderId="1" xfId="0" applyFont="1" applyFill="1" applyBorder="1" applyAlignment="1" applyProtection="1">
      <alignment horizontal="center" vertical="center" wrapText="1"/>
      <protection locked="0"/>
    </xf>
    <xf numFmtId="0" fontId="5" fillId="3" borderId="1"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9" fontId="5" fillId="3" borderId="3" xfId="1" applyFont="1" applyFill="1" applyBorder="1" applyAlignment="1" applyProtection="1">
      <alignment horizontal="center" vertical="center" wrapText="1"/>
      <protection hidden="1"/>
    </xf>
    <xf numFmtId="9" fontId="5" fillId="3" borderId="1" xfId="1" applyFont="1" applyFill="1" applyBorder="1" applyAlignment="1" applyProtection="1">
      <alignment horizontal="center" vertical="center" wrapText="1"/>
      <protection hidden="1"/>
    </xf>
    <xf numFmtId="0" fontId="6" fillId="4" borderId="3" xfId="0" applyFont="1" applyFill="1" applyBorder="1" applyAlignment="1" applyProtection="1">
      <alignment horizontal="center" vertical="center" wrapText="1"/>
      <protection locked="0"/>
    </xf>
    <xf numFmtId="0" fontId="5" fillId="0" borderId="3" xfId="0" applyFont="1" applyBorder="1" applyAlignment="1" applyProtection="1">
      <alignment horizontal="justify" vertical="center" wrapText="1"/>
      <protection locked="0"/>
    </xf>
    <xf numFmtId="0" fontId="0" fillId="0" borderId="1" xfId="0" applyBorder="1" applyAlignment="1" applyProtection="1">
      <alignment vertical="center" wrapText="1"/>
      <protection locked="0"/>
    </xf>
    <xf numFmtId="0" fontId="0" fillId="0" borderId="6" xfId="0" applyBorder="1" applyAlignment="1" applyProtection="1">
      <alignment vertical="center" wrapText="1"/>
      <protection locked="0"/>
    </xf>
    <xf numFmtId="0" fontId="0" fillId="0" borderId="3" xfId="0" applyBorder="1" applyAlignment="1" applyProtection="1">
      <alignment vertical="center" wrapText="1"/>
      <protection locked="0"/>
    </xf>
    <xf numFmtId="0" fontId="0" fillId="0" borderId="9" xfId="0" applyBorder="1" applyAlignment="1" applyProtection="1">
      <alignment vertical="center" wrapText="1"/>
      <protection locked="0"/>
    </xf>
    <xf numFmtId="0" fontId="0" fillId="3" borderId="4" xfId="0" applyFill="1" applyBorder="1" applyAlignment="1" applyProtection="1">
      <alignment vertical="center" wrapText="1"/>
      <protection hidden="1"/>
    </xf>
    <xf numFmtId="0" fontId="0" fillId="3" borderId="1" xfId="0" applyFill="1" applyBorder="1" applyAlignment="1" applyProtection="1">
      <alignment vertical="center" wrapText="1"/>
      <protection hidden="1"/>
    </xf>
    <xf numFmtId="14" fontId="0" fillId="3" borderId="1" xfId="0" applyNumberFormat="1" applyFill="1" applyBorder="1" applyAlignment="1" applyProtection="1">
      <alignment vertical="center" wrapText="1"/>
      <protection hidden="1"/>
    </xf>
    <xf numFmtId="0" fontId="0" fillId="3" borderId="7" xfId="0" applyFill="1" applyBorder="1" applyAlignment="1" applyProtection="1">
      <alignment vertical="center" wrapText="1"/>
      <protection hidden="1"/>
    </xf>
    <xf numFmtId="0" fontId="0" fillId="3" borderId="3" xfId="0" applyFill="1" applyBorder="1" applyAlignment="1" applyProtection="1">
      <alignment vertical="center" wrapText="1"/>
      <protection hidden="1"/>
    </xf>
    <xf numFmtId="14" fontId="0" fillId="3" borderId="3" xfId="0" applyNumberFormat="1" applyFill="1" applyBorder="1" applyAlignment="1" applyProtection="1">
      <alignment vertical="center" wrapText="1"/>
      <protection hidden="1"/>
    </xf>
    <xf numFmtId="0" fontId="4" fillId="2" borderId="11"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5" fillId="4" borderId="1" xfId="0" applyFont="1" applyFill="1" applyBorder="1" applyAlignment="1" applyProtection="1">
      <alignment horizontal="center" vertical="center"/>
      <protection locked="0"/>
    </xf>
    <xf numFmtId="0" fontId="5" fillId="3" borderId="6" xfId="0" applyFont="1" applyFill="1" applyBorder="1" applyAlignment="1" applyProtection="1">
      <alignment horizontal="center" vertical="center"/>
      <protection hidden="1"/>
    </xf>
    <xf numFmtId="9" fontId="5" fillId="3" borderId="6" xfId="1" applyFont="1" applyFill="1" applyBorder="1" applyAlignment="1" applyProtection="1">
      <alignment horizontal="center" vertical="center"/>
      <protection hidden="1"/>
    </xf>
    <xf numFmtId="0" fontId="11" fillId="0" borderId="0" xfId="0" applyFont="1" applyAlignment="1">
      <alignment horizontal="left" vertical="center" readingOrder="1"/>
    </xf>
    <xf numFmtId="0" fontId="11" fillId="0" borderId="0" xfId="0" applyFont="1" applyAlignment="1">
      <alignment horizontal="left" readingOrder="1"/>
    </xf>
    <xf numFmtId="0" fontId="12" fillId="0" borderId="0" xfId="0" applyFont="1" applyAlignment="1">
      <alignment vertical="center"/>
    </xf>
    <xf numFmtId="0" fontId="14" fillId="0" borderId="13" xfId="0" applyFont="1" applyBorder="1" applyAlignment="1">
      <alignment horizontal="center" vertical="center" wrapText="1"/>
    </xf>
    <xf numFmtId="0" fontId="14" fillId="0" borderId="17" xfId="0" applyFont="1" applyBorder="1" applyAlignment="1">
      <alignment horizontal="center" vertical="center" wrapText="1"/>
    </xf>
    <xf numFmtId="0" fontId="15" fillId="0" borderId="0" xfId="0" applyFont="1" applyAlignment="1">
      <alignment vertical="center"/>
    </xf>
    <xf numFmtId="0" fontId="5" fillId="5" borderId="1" xfId="0" applyFont="1" applyFill="1" applyBorder="1" applyAlignment="1" applyProtection="1">
      <alignment horizontal="center" vertical="center" wrapText="1"/>
      <protection locked="0"/>
    </xf>
    <xf numFmtId="0" fontId="5" fillId="5" borderId="3" xfId="0" applyFont="1" applyFill="1" applyBorder="1" applyAlignment="1" applyProtection="1">
      <alignment horizontal="center" vertical="center" wrapText="1"/>
      <protection locked="0"/>
    </xf>
    <xf numFmtId="10" fontId="5" fillId="3" borderId="1" xfId="1" applyNumberFormat="1" applyFont="1" applyFill="1" applyBorder="1" applyAlignment="1" applyProtection="1">
      <alignment horizontal="center" vertical="center" wrapText="1"/>
      <protection hidden="1"/>
    </xf>
    <xf numFmtId="10" fontId="5" fillId="3" borderId="3" xfId="1" applyNumberFormat="1" applyFont="1" applyFill="1" applyBorder="1" applyAlignment="1" applyProtection="1">
      <alignment horizontal="center" vertical="center" wrapText="1"/>
      <protection hidden="1"/>
    </xf>
    <xf numFmtId="0" fontId="16" fillId="0" borderId="0" xfId="0" applyFont="1" applyAlignment="1">
      <alignment horizontal="left" vertical="center"/>
    </xf>
    <xf numFmtId="0" fontId="5" fillId="0" borderId="0" xfId="0" applyFont="1" applyAlignment="1" applyProtection="1">
      <alignment vertical="center" wrapText="1"/>
      <protection hidden="1"/>
    </xf>
    <xf numFmtId="0" fontId="5" fillId="0" borderId="0" xfId="0" applyFont="1" applyAlignment="1" applyProtection="1">
      <alignment horizontal="justify" vertical="center" wrapText="1"/>
      <protection hidden="1"/>
    </xf>
    <xf numFmtId="0" fontId="5" fillId="0" borderId="0" xfId="0" applyFont="1" applyAlignment="1" applyProtection="1">
      <alignment horizontal="center" vertical="center" wrapText="1"/>
      <protection hidden="1"/>
    </xf>
    <xf numFmtId="0" fontId="4" fillId="2" borderId="10" xfId="0" applyFont="1" applyFill="1" applyBorder="1" applyAlignment="1" applyProtection="1">
      <alignment horizontal="center" vertical="center" wrapText="1"/>
      <protection hidden="1"/>
    </xf>
    <xf numFmtId="0" fontId="4" fillId="2" borderId="1" xfId="0" applyFont="1" applyFill="1" applyBorder="1" applyAlignment="1">
      <alignment horizontal="center" vertical="center" wrapText="1"/>
    </xf>
    <xf numFmtId="14" fontId="4" fillId="2" borderId="1" xfId="0" applyNumberFormat="1" applyFont="1" applyFill="1" applyBorder="1" applyAlignment="1">
      <alignment horizontal="center" vertical="center" wrapText="1"/>
    </xf>
    <xf numFmtId="0" fontId="18" fillId="0" borderId="0" xfId="0" applyFont="1" applyAlignment="1">
      <alignment vertical="center"/>
    </xf>
    <xf numFmtId="0" fontId="20" fillId="0" borderId="0" xfId="0" applyFont="1"/>
    <xf numFmtId="0" fontId="20" fillId="0" borderId="0" xfId="0" applyFont="1" applyAlignment="1">
      <alignment horizontal="left" vertical="center" wrapText="1"/>
    </xf>
    <xf numFmtId="0" fontId="18" fillId="0" borderId="0" xfId="0" applyFont="1" applyAlignment="1">
      <alignment horizontal="left" vertical="center" wrapText="1"/>
    </xf>
    <xf numFmtId="0" fontId="21" fillId="0" borderId="0" xfId="0" applyFont="1" applyAlignment="1">
      <alignment horizontal="left" vertical="center" wrapText="1"/>
    </xf>
    <xf numFmtId="0" fontId="21" fillId="0" borderId="0" xfId="0" applyFont="1" applyAlignment="1">
      <alignment vertical="center" wrapText="1"/>
    </xf>
    <xf numFmtId="0" fontId="20" fillId="0" borderId="20" xfId="0" applyFont="1" applyBorder="1"/>
    <xf numFmtId="0" fontId="18" fillId="0" borderId="0" xfId="0" applyFont="1" applyAlignment="1">
      <alignment vertical="center" wrapText="1"/>
    </xf>
    <xf numFmtId="0" fontId="21" fillId="0" borderId="0" xfId="0" applyFont="1" applyAlignment="1">
      <alignment horizontal="left" vertical="center"/>
    </xf>
    <xf numFmtId="0" fontId="20" fillId="4" borderId="20" xfId="0" applyFont="1" applyFill="1" applyBorder="1"/>
    <xf numFmtId="0" fontId="20" fillId="3" borderId="20" xfId="0" applyFont="1" applyFill="1" applyBorder="1"/>
    <xf numFmtId="0" fontId="20" fillId="5" borderId="20" xfId="0" applyFont="1" applyFill="1" applyBorder="1"/>
    <xf numFmtId="0" fontId="22" fillId="0" borderId="0" xfId="0" applyFont="1" applyAlignment="1">
      <alignment horizontal="justify" vertical="center"/>
    </xf>
    <xf numFmtId="0" fontId="18" fillId="0" borderId="0" xfId="0" applyFont="1" applyAlignment="1">
      <alignment horizontal="center" vertical="center"/>
    </xf>
    <xf numFmtId="0" fontId="18" fillId="0" borderId="0" xfId="0" applyFont="1" applyAlignment="1">
      <alignment horizontal="justify" vertical="center"/>
    </xf>
    <xf numFmtId="0" fontId="23" fillId="0" borderId="0" xfId="0" applyFont="1"/>
    <xf numFmtId="0" fontId="18" fillId="0" borderId="0" xfId="0" applyFont="1" applyAlignment="1">
      <alignment horizontal="center" vertical="center" wrapText="1"/>
    </xf>
    <xf numFmtId="0" fontId="20" fillId="0" borderId="0" xfId="0" applyFont="1" applyAlignment="1">
      <alignment horizontal="left" vertical="center"/>
    </xf>
    <xf numFmtId="0" fontId="18" fillId="0" borderId="0" xfId="0" applyFont="1" applyAlignment="1">
      <alignment horizontal="left" vertical="center"/>
    </xf>
    <xf numFmtId="0" fontId="23" fillId="0" borderId="0" xfId="0" applyFont="1" applyAlignment="1">
      <alignment vertical="center" wrapText="1"/>
    </xf>
    <xf numFmtId="0" fontId="24" fillId="0" borderId="0" xfId="0" applyFont="1" applyAlignment="1">
      <alignment vertical="center" wrapText="1"/>
    </xf>
    <xf numFmtId="0" fontId="5" fillId="6" borderId="1" xfId="0" applyFont="1" applyFill="1" applyBorder="1" applyAlignment="1" applyProtection="1">
      <alignment horizontal="center" vertical="center" wrapText="1"/>
      <protection hidden="1"/>
    </xf>
    <xf numFmtId="0" fontId="5" fillId="7" borderId="1" xfId="0" applyFont="1" applyFill="1" applyBorder="1" applyAlignment="1">
      <alignment horizontal="center" vertical="center" wrapText="1"/>
    </xf>
    <xf numFmtId="0" fontId="5" fillId="0" borderId="1" xfId="0" applyFont="1" applyBorder="1" applyAlignment="1" applyProtection="1">
      <alignment horizontal="left" vertical="center" wrapText="1"/>
      <protection locked="0"/>
    </xf>
    <xf numFmtId="0" fontId="0" fillId="0" borderId="0" xfId="0" applyAlignment="1">
      <alignment horizontal="left"/>
    </xf>
    <xf numFmtId="0" fontId="5" fillId="8" borderId="4" xfId="0" applyFont="1" applyFill="1" applyBorder="1" applyAlignment="1" applyProtection="1">
      <alignment horizontal="center" vertical="center" wrapText="1"/>
      <protection locked="0"/>
    </xf>
    <xf numFmtId="0" fontId="27" fillId="8" borderId="4" xfId="0" applyFont="1" applyFill="1" applyBorder="1" applyAlignment="1" applyProtection="1">
      <alignment horizontal="center" vertical="center" wrapText="1"/>
      <protection locked="0"/>
    </xf>
    <xf numFmtId="0" fontId="27" fillId="3" borderId="1" xfId="0" applyFont="1" applyFill="1" applyBorder="1" applyAlignment="1" applyProtection="1">
      <alignment horizontal="center" vertical="center" wrapText="1"/>
      <protection hidden="1"/>
    </xf>
    <xf numFmtId="0" fontId="27" fillId="0" borderId="1" xfId="0" applyFont="1" applyBorder="1" applyAlignment="1" applyProtection="1">
      <alignment horizontal="center" vertical="center" wrapText="1"/>
      <protection locked="0"/>
    </xf>
    <xf numFmtId="0" fontId="27" fillId="4" borderId="1" xfId="0" applyFont="1" applyFill="1" applyBorder="1" applyAlignment="1" applyProtection="1">
      <alignment horizontal="center" vertical="center" wrapText="1"/>
      <protection locked="0"/>
    </xf>
    <xf numFmtId="0" fontId="27" fillId="0" borderId="1" xfId="0" applyFont="1" applyBorder="1" applyAlignment="1" applyProtection="1">
      <alignment horizontal="justify" vertical="center" wrapText="1"/>
      <protection locked="0"/>
    </xf>
    <xf numFmtId="0" fontId="27" fillId="5" borderId="1" xfId="0" applyFont="1" applyFill="1" applyBorder="1" applyAlignment="1" applyProtection="1">
      <alignment horizontal="center" vertical="center" wrapText="1"/>
      <protection locked="0"/>
    </xf>
    <xf numFmtId="0" fontId="27" fillId="0" borderId="1" xfId="0" applyFont="1" applyBorder="1" applyAlignment="1" applyProtection="1">
      <alignment horizontal="left" vertical="center" wrapText="1"/>
      <protection locked="0"/>
    </xf>
    <xf numFmtId="0" fontId="27" fillId="4" borderId="1" xfId="0" applyFont="1" applyFill="1" applyBorder="1" applyAlignment="1" applyProtection="1">
      <alignment horizontal="center" vertical="center"/>
      <protection locked="0"/>
    </xf>
    <xf numFmtId="0" fontId="27" fillId="3" borderId="6" xfId="0" applyFont="1" applyFill="1" applyBorder="1" applyAlignment="1" applyProtection="1">
      <alignment horizontal="center" vertical="center"/>
      <protection hidden="1"/>
    </xf>
    <xf numFmtId="9" fontId="27" fillId="3" borderId="6" xfId="1" applyFont="1" applyFill="1" applyBorder="1" applyAlignment="1" applyProtection="1">
      <alignment horizontal="center" vertical="center"/>
      <protection hidden="1"/>
    </xf>
    <xf numFmtId="10" fontId="27" fillId="3" borderId="1" xfId="1" applyNumberFormat="1" applyFont="1" applyFill="1" applyBorder="1" applyAlignment="1" applyProtection="1">
      <alignment horizontal="center" vertical="center" wrapText="1"/>
      <protection hidden="1"/>
    </xf>
    <xf numFmtId="0" fontId="27" fillId="6" borderId="1" xfId="0" applyFont="1" applyFill="1" applyBorder="1" applyAlignment="1" applyProtection="1">
      <alignment horizontal="center" vertical="center" wrapText="1"/>
      <protection hidden="1"/>
    </xf>
    <xf numFmtId="0" fontId="27" fillId="0" borderId="0" xfId="0" applyFont="1" applyAlignment="1" applyProtection="1">
      <alignment vertical="center" wrapText="1"/>
      <protection locked="0"/>
    </xf>
    <xf numFmtId="0" fontId="27" fillId="0" borderId="4" xfId="0" applyFont="1" applyBorder="1" applyAlignment="1" applyProtection="1">
      <alignment horizontal="center" vertical="center" wrapText="1"/>
      <protection locked="0"/>
    </xf>
    <xf numFmtId="9" fontId="27" fillId="3" borderId="1" xfId="1" applyFont="1" applyFill="1" applyBorder="1" applyAlignment="1" applyProtection="1">
      <alignment horizontal="center" vertical="center" wrapText="1"/>
      <protection hidden="1"/>
    </xf>
    <xf numFmtId="0" fontId="27" fillId="7" borderId="1" xfId="0" applyFont="1" applyFill="1" applyBorder="1" applyAlignment="1">
      <alignment horizontal="center" vertical="center" wrapText="1"/>
    </xf>
    <xf numFmtId="0" fontId="0" fillId="0" borderId="0" xfId="0" applyAlignment="1">
      <alignment wrapText="1"/>
    </xf>
    <xf numFmtId="0" fontId="27" fillId="9" borderId="4" xfId="0" applyFont="1" applyFill="1" applyBorder="1" applyAlignment="1" applyProtection="1">
      <alignment horizontal="center" vertical="center" wrapText="1"/>
      <protection locked="0"/>
    </xf>
    <xf numFmtId="0" fontId="27" fillId="9" borderId="1" xfId="0" applyFont="1" applyFill="1" applyBorder="1" applyAlignment="1" applyProtection="1">
      <alignment horizontal="center" vertical="center" wrapText="1"/>
      <protection locked="0"/>
    </xf>
    <xf numFmtId="0" fontId="4" fillId="0" borderId="10" xfId="0" applyFont="1" applyBorder="1" applyAlignment="1">
      <alignment horizontal="center" vertical="center" wrapText="1"/>
    </xf>
    <xf numFmtId="14" fontId="27" fillId="0" borderId="1" xfId="0" applyNumberFormat="1" applyFont="1" applyBorder="1" applyAlignment="1" applyProtection="1">
      <alignment horizontal="center" vertical="center" wrapText="1"/>
      <protection locked="0"/>
    </xf>
    <xf numFmtId="0" fontId="28" fillId="0" borderId="0" xfId="0" applyFont="1" applyAlignment="1">
      <alignment vertical="center"/>
    </xf>
    <xf numFmtId="0" fontId="10" fillId="0" borderId="0" xfId="0" applyFont="1"/>
    <xf numFmtId="0" fontId="0" fillId="0" borderId="0" xfId="0" applyAlignment="1">
      <alignment horizontal="left" vertical="center" indent="1"/>
    </xf>
    <xf numFmtId="0" fontId="29" fillId="0" borderId="0" xfId="0" applyFont="1" applyAlignment="1">
      <alignment vertical="center"/>
    </xf>
    <xf numFmtId="0" fontId="30" fillId="0" borderId="0" xfId="0" applyFont="1" applyAlignment="1">
      <alignment vertical="center"/>
    </xf>
    <xf numFmtId="0" fontId="10" fillId="0" borderId="0" xfId="0" applyFont="1" applyAlignment="1">
      <alignment horizontal="left" vertical="center" indent="1"/>
    </xf>
    <xf numFmtId="0" fontId="31" fillId="8" borderId="4" xfId="0" applyFont="1" applyFill="1" applyBorder="1" applyAlignment="1" applyProtection="1">
      <alignment horizontal="center" vertical="center" wrapText="1"/>
      <protection locked="0"/>
    </xf>
    <xf numFmtId="0" fontId="31" fillId="3" borderId="1" xfId="0" applyFont="1" applyFill="1" applyBorder="1" applyAlignment="1" applyProtection="1">
      <alignment horizontal="center" vertical="center" wrapText="1"/>
      <protection hidden="1"/>
    </xf>
    <xf numFmtId="0" fontId="31" fillId="0" borderId="1" xfId="0" applyFont="1" applyBorder="1" applyAlignment="1" applyProtection="1">
      <alignment horizontal="center" vertical="center" wrapText="1"/>
      <protection locked="0"/>
    </xf>
    <xf numFmtId="0" fontId="31" fillId="4" borderId="1" xfId="0" applyFont="1" applyFill="1" applyBorder="1" applyAlignment="1" applyProtection="1">
      <alignment horizontal="center" vertical="center" wrapText="1"/>
      <protection locked="0"/>
    </xf>
    <xf numFmtId="0" fontId="31" fillId="0" borderId="1" xfId="0" applyFont="1" applyBorder="1" applyAlignment="1" applyProtection="1">
      <alignment horizontal="justify" vertical="center" wrapText="1"/>
      <protection locked="0"/>
    </xf>
    <xf numFmtId="0" fontId="31" fillId="5" borderId="1" xfId="0" applyFont="1" applyFill="1" applyBorder="1" applyAlignment="1" applyProtection="1">
      <alignment horizontal="center" vertical="center" wrapText="1"/>
      <protection locked="0"/>
    </xf>
    <xf numFmtId="0" fontId="31" fillId="0" borderId="1" xfId="0" applyFont="1" applyBorder="1" applyAlignment="1" applyProtection="1">
      <alignment horizontal="left" vertical="center" wrapText="1"/>
      <protection locked="0"/>
    </xf>
    <xf numFmtId="9" fontId="31" fillId="3" borderId="1" xfId="1" applyFont="1" applyFill="1" applyBorder="1" applyAlignment="1" applyProtection="1">
      <alignment horizontal="center" vertical="center" wrapText="1"/>
      <protection hidden="1"/>
    </xf>
    <xf numFmtId="9" fontId="31" fillId="4" borderId="1" xfId="1" applyFont="1" applyFill="1" applyBorder="1" applyAlignment="1" applyProtection="1">
      <alignment horizontal="center" vertical="center" wrapText="1"/>
      <protection locked="0"/>
    </xf>
    <xf numFmtId="10" fontId="31" fillId="3" borderId="1" xfId="1" applyNumberFormat="1" applyFont="1" applyFill="1" applyBorder="1" applyAlignment="1" applyProtection="1">
      <alignment horizontal="center" vertical="center" wrapText="1"/>
      <protection hidden="1"/>
    </xf>
    <xf numFmtId="14" fontId="31" fillId="0" borderId="1" xfId="0" applyNumberFormat="1" applyFont="1" applyBorder="1" applyAlignment="1" applyProtection="1">
      <alignment horizontal="center" vertical="center" wrapText="1"/>
      <protection locked="0"/>
    </xf>
    <xf numFmtId="0" fontId="31" fillId="6" borderId="1" xfId="0" applyFont="1" applyFill="1" applyBorder="1" applyAlignment="1" applyProtection="1">
      <alignment horizontal="center" vertical="center" wrapText="1"/>
      <protection hidden="1"/>
    </xf>
    <xf numFmtId="0" fontId="31" fillId="0" borderId="0" xfId="0" applyFont="1" applyAlignment="1" applyProtection="1">
      <alignment vertical="center" wrapText="1"/>
      <protection locked="0"/>
    </xf>
    <xf numFmtId="0" fontId="31" fillId="4" borderId="1" xfId="0" applyFont="1" applyFill="1" applyBorder="1" applyAlignment="1" applyProtection="1">
      <alignment horizontal="center" vertical="center"/>
      <protection locked="0"/>
    </xf>
    <xf numFmtId="0" fontId="31" fillId="3" borderId="6" xfId="0" applyFont="1" applyFill="1" applyBorder="1" applyAlignment="1" applyProtection="1">
      <alignment horizontal="center" vertical="center"/>
      <protection hidden="1"/>
    </xf>
    <xf numFmtId="9" fontId="31" fillId="3" borderId="6" xfId="1" applyFont="1" applyFill="1" applyBorder="1" applyAlignment="1" applyProtection="1">
      <alignment horizontal="center" vertical="center"/>
      <protection hidden="1"/>
    </xf>
    <xf numFmtId="0" fontId="26" fillId="0" borderId="1" xfId="0" applyFont="1" applyBorder="1" applyAlignment="1" applyProtection="1">
      <alignment horizontal="left" vertical="center" wrapText="1"/>
      <protection locked="0"/>
    </xf>
    <xf numFmtId="0" fontId="7" fillId="0" borderId="1" xfId="0" applyFont="1" applyBorder="1" applyAlignment="1" applyProtection="1">
      <alignment horizontal="left" vertical="center" wrapText="1"/>
      <protection locked="0"/>
    </xf>
    <xf numFmtId="0" fontId="32" fillId="0" borderId="1" xfId="0" applyFont="1" applyBorder="1" applyAlignment="1" applyProtection="1">
      <alignment horizontal="left" vertical="center" wrapText="1"/>
      <protection locked="0"/>
    </xf>
    <xf numFmtId="0" fontId="5" fillId="0" borderId="3" xfId="0" applyFont="1" applyBorder="1" applyAlignment="1" applyProtection="1">
      <alignment horizontal="left" vertical="center" wrapText="1"/>
      <protection locked="0"/>
    </xf>
    <xf numFmtId="0" fontId="5" fillId="0" borderId="0" xfId="0" applyFont="1" applyAlignment="1" applyProtection="1">
      <alignment horizontal="left" vertical="center" wrapText="1"/>
      <protection locked="0"/>
    </xf>
    <xf numFmtId="0" fontId="31" fillId="0" borderId="4" xfId="0" applyFont="1" applyBorder="1" applyAlignment="1" applyProtection="1">
      <alignment horizontal="center" vertical="center" wrapText="1"/>
      <protection locked="0"/>
    </xf>
    <xf numFmtId="0" fontId="33" fillId="0" borderId="4" xfId="0" applyFont="1" applyBorder="1" applyAlignment="1" applyProtection="1">
      <alignment horizontal="center" vertical="center" wrapText="1"/>
      <protection locked="0"/>
    </xf>
    <xf numFmtId="0" fontId="33" fillId="3" borderId="1" xfId="0" applyFont="1" applyFill="1" applyBorder="1" applyAlignment="1" applyProtection="1">
      <alignment horizontal="center" vertical="center" wrapText="1"/>
      <protection hidden="1"/>
    </xf>
    <xf numFmtId="0" fontId="33" fillId="0" borderId="1" xfId="0" applyFont="1" applyBorder="1" applyAlignment="1" applyProtection="1">
      <alignment horizontal="center" vertical="center" wrapText="1"/>
      <protection locked="0"/>
    </xf>
    <xf numFmtId="0" fontId="33" fillId="4" borderId="1" xfId="0" applyFont="1" applyFill="1" applyBorder="1" applyAlignment="1" applyProtection="1">
      <alignment horizontal="center" vertical="center" wrapText="1"/>
      <protection locked="0"/>
    </xf>
    <xf numFmtId="0" fontId="33" fillId="0" borderId="1" xfId="0" applyFont="1" applyBorder="1" applyAlignment="1" applyProtection="1">
      <alignment horizontal="justify" vertical="center" wrapText="1"/>
      <protection locked="0"/>
    </xf>
    <xf numFmtId="0" fontId="34" fillId="0" borderId="1" xfId="0" applyFont="1" applyBorder="1" applyAlignment="1" applyProtection="1">
      <alignment horizontal="left" vertical="center" wrapText="1"/>
      <protection locked="0"/>
    </xf>
    <xf numFmtId="0" fontId="33" fillId="5" borderId="1" xfId="0" applyFont="1" applyFill="1" applyBorder="1" applyAlignment="1" applyProtection="1">
      <alignment horizontal="center" vertical="center" wrapText="1"/>
      <protection locked="0"/>
    </xf>
    <xf numFmtId="0" fontId="33" fillId="0" borderId="1" xfId="0" applyFont="1" applyBorder="1" applyAlignment="1" applyProtection="1">
      <alignment horizontal="left" vertical="center" wrapText="1"/>
      <protection locked="0"/>
    </xf>
    <xf numFmtId="0" fontId="33" fillId="4" borderId="1" xfId="0" applyFont="1" applyFill="1" applyBorder="1" applyAlignment="1" applyProtection="1">
      <alignment horizontal="center" vertical="center"/>
      <protection locked="0"/>
    </xf>
    <xf numFmtId="9" fontId="33" fillId="3" borderId="1" xfId="1" applyFont="1" applyFill="1" applyBorder="1" applyAlignment="1" applyProtection="1">
      <alignment horizontal="center" vertical="center" wrapText="1"/>
      <protection hidden="1"/>
    </xf>
    <xf numFmtId="9" fontId="33" fillId="3" borderId="6" xfId="1" applyFont="1" applyFill="1" applyBorder="1" applyAlignment="1" applyProtection="1">
      <alignment horizontal="center" vertical="center"/>
      <protection hidden="1"/>
    </xf>
    <xf numFmtId="10" fontId="33" fillId="3" borderId="1" xfId="1" applyNumberFormat="1" applyFont="1" applyFill="1" applyBorder="1" applyAlignment="1" applyProtection="1">
      <alignment horizontal="center" vertical="center" wrapText="1"/>
      <protection hidden="1"/>
    </xf>
    <xf numFmtId="0" fontId="33" fillId="3" borderId="1" xfId="0" applyFont="1" applyFill="1" applyBorder="1" applyAlignment="1" applyProtection="1">
      <alignment horizontal="left" vertical="center" wrapText="1"/>
      <protection hidden="1"/>
    </xf>
    <xf numFmtId="0" fontId="33" fillId="6" borderId="1" xfId="0" applyFont="1" applyFill="1" applyBorder="1" applyAlignment="1" applyProtection="1">
      <alignment horizontal="center" vertical="center" wrapText="1"/>
      <protection hidden="1"/>
    </xf>
    <xf numFmtId="0" fontId="33" fillId="0" borderId="10" xfId="0" applyFont="1" applyBorder="1" applyAlignment="1" applyProtection="1">
      <alignment horizontal="left" vertical="center" wrapText="1"/>
      <protection locked="0"/>
    </xf>
    <xf numFmtId="0" fontId="33" fillId="0" borderId="0" xfId="0" applyFont="1" applyAlignment="1" applyProtection="1">
      <alignment vertical="center" wrapText="1"/>
      <protection locked="0"/>
    </xf>
    <xf numFmtId="0" fontId="5" fillId="0" borderId="0" xfId="0" applyFont="1" applyAlignment="1" applyProtection="1">
      <alignment horizontal="center" vertical="center" wrapText="1"/>
      <protection locked="0"/>
    </xf>
    <xf numFmtId="0" fontId="24" fillId="0" borderId="0" xfId="0" applyFont="1" applyAlignment="1">
      <alignment horizontal="left" vertical="center" wrapText="1"/>
    </xf>
    <xf numFmtId="0" fontId="24" fillId="0" borderId="0" xfId="0" applyFont="1" applyAlignment="1">
      <alignment horizontal="left" vertical="center"/>
    </xf>
    <xf numFmtId="0" fontId="23" fillId="0" borderId="0" xfId="0" applyFont="1" applyAlignment="1">
      <alignment horizontal="left" vertical="center" wrapText="1"/>
    </xf>
    <xf numFmtId="0" fontId="20" fillId="0" borderId="0" xfId="0" applyFont="1" applyAlignment="1">
      <alignment horizontal="left" vertical="center"/>
    </xf>
    <xf numFmtId="0" fontId="16"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horizontal="left" vertical="center" wrapText="1"/>
    </xf>
    <xf numFmtId="0" fontId="18" fillId="0" borderId="0" xfId="0" applyFont="1" applyAlignment="1">
      <alignment vertical="center" wrapText="1"/>
    </xf>
    <xf numFmtId="0" fontId="20" fillId="0" borderId="0" xfId="0" applyFont="1" applyAlignment="1">
      <alignment horizontal="left" vertical="center" wrapText="1"/>
    </xf>
    <xf numFmtId="0" fontId="13" fillId="0" borderId="12" xfId="0" applyFont="1" applyBorder="1" applyAlignment="1">
      <alignment horizontal="center" vertical="center" wrapText="1"/>
    </xf>
    <xf numFmtId="0" fontId="13" fillId="0" borderId="16"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19" xfId="0" applyFont="1" applyBorder="1" applyAlignment="1">
      <alignment horizontal="center" vertical="center" wrapText="1"/>
    </xf>
    <xf numFmtId="0" fontId="18" fillId="0" borderId="0" xfId="0" applyFont="1" applyAlignment="1">
      <alignment horizontal="justify" vertical="center" wrapText="1"/>
    </xf>
    <xf numFmtId="0" fontId="16" fillId="0" borderId="0" xfId="0" applyFont="1" applyAlignment="1">
      <alignment horizontal="center" vertical="center"/>
    </xf>
    <xf numFmtId="0" fontId="21" fillId="0" borderId="0" xfId="0" applyFont="1" applyAlignment="1">
      <alignment horizontal="left" vertical="center" wrapText="1"/>
    </xf>
    <xf numFmtId="0" fontId="0" fillId="0" borderId="1" xfId="0" applyBorder="1" applyAlignment="1">
      <alignment horizontal="left" vertical="center" wrapText="1"/>
    </xf>
    <xf numFmtId="0" fontId="10" fillId="0" borderId="1" xfId="0" applyFont="1" applyBorder="1" applyAlignment="1">
      <alignment horizontal="center" vertical="center"/>
    </xf>
  </cellXfs>
  <cellStyles count="2">
    <cellStyle name="Normal" xfId="0" builtinId="0"/>
    <cellStyle name="Porcentaje" xfId="1" builtinId="5"/>
  </cellStyles>
  <dxfs count="122">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8"/>
        <color rgb="FF000000"/>
        <name val="Arial"/>
        <scheme val="none"/>
      </font>
      <alignment horizontal="justify" vertical="center" textRotation="0" wrapText="0" indent="0" justifyLastLine="0" shrinkToFit="0" readingOrder="1"/>
    </dxf>
    <dxf>
      <font>
        <b val="0"/>
        <i val="0"/>
        <strike val="0"/>
        <condense val="0"/>
        <extend val="0"/>
        <outline val="0"/>
        <shadow val="0"/>
        <u val="none"/>
        <vertAlign val="baseline"/>
        <sz val="8"/>
        <color rgb="FF000000"/>
        <name val="Arial"/>
        <scheme val="none"/>
      </font>
      <alignment horizontal="justify" vertical="center" textRotation="0" wrapText="0" indent="0" justifyLastLine="0" shrinkToFit="0" readingOrder="1"/>
    </dxf>
    <dxf>
      <font>
        <b/>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rgb="FF000000"/>
        <name val="Arial"/>
        <scheme val="none"/>
      </font>
      <alignment horizontal="left" vertical="bottom" textRotation="0" wrapText="0" indent="0" justifyLastLine="0" shrinkToFit="0" readingOrder="1"/>
    </dxf>
    <dxf>
      <font>
        <b val="0"/>
        <i val="0"/>
        <strike val="0"/>
        <condense val="0"/>
        <extend val="0"/>
        <outline val="0"/>
        <shadow val="0"/>
        <u val="none"/>
        <vertAlign val="baseline"/>
        <sz val="11"/>
        <color rgb="FF000000"/>
        <name val="Arial"/>
        <scheme val="none"/>
      </font>
      <alignment horizontal="left" vertical="bottom" textRotation="0" wrapText="0" indent="0" justifyLastLine="0" shrinkToFit="0" readingOrder="1"/>
    </dxf>
    <dxf>
      <font>
        <b val="0"/>
        <i val="0"/>
        <strike val="0"/>
        <condense val="0"/>
        <extend val="0"/>
        <outline val="0"/>
        <shadow val="0"/>
        <u val="none"/>
        <vertAlign val="baseline"/>
        <sz val="11"/>
        <color rgb="FF000000"/>
        <name val="Arial"/>
        <scheme val="none"/>
      </font>
      <alignment horizontal="left" vertical="bottom" textRotation="0" wrapText="0" indent="0" justifyLastLine="0" shrinkToFit="0" readingOrder="1"/>
    </dxf>
    <dxf>
      <font>
        <b/>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numFmt numFmtId="13" formatCode="0%"/>
      <alignment horizontal="center" vertical="center" textRotation="0" wrapText="1" indent="0" justifyLastLine="0" shrinkToFit="0" readingOrder="0"/>
    </dxf>
    <dxf>
      <font>
        <b val="0"/>
        <i val="0"/>
        <strike val="0"/>
        <condense val="0"/>
        <extend val="0"/>
        <outline val="0"/>
        <shadow val="0"/>
        <u val="none"/>
        <vertAlign val="baseline"/>
        <sz val="11"/>
        <color theme="1"/>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scheme val="none"/>
      </font>
      <alignment horizontal="center" vertical="center" textRotation="0" wrapText="1" indent="0" justifyLastLine="0" shrinkToFit="0" readingOrder="0"/>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border>
      <protection locked="0" hidden="0"/>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protection locked="0" hidden="0"/>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protection locked="0" hidden="0"/>
    </dxf>
    <dxf>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protection locked="1" hidden="1"/>
    </dxf>
    <dxf>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protection locked="1" hidden="1"/>
    </dxf>
    <dxf>
      <numFmt numFmtId="164" formatCode="d/m/yyyy"/>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protection locked="1" hidden="1"/>
    </dxf>
    <dxf>
      <numFmt numFmtId="164" formatCode="d/m/yyyy"/>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protection locked="1" hidden="1"/>
    </dxf>
    <dxf>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protection locked="1" hidden="1"/>
    </dxf>
    <dxf>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protection locked="1" hidden="1"/>
    </dxf>
    <dxf>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protection locked="1" hidden="1"/>
    </dxf>
    <dxf>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protection locked="1" hidden="1"/>
    </dxf>
    <dxf>
      <fill>
        <patternFill patternType="solid">
          <fgColor indexed="64"/>
          <bgColor theme="9"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protection locked="1" hidden="1"/>
    </dxf>
    <dxf>
      <fill>
        <patternFill patternType="solid">
          <fgColor indexed="64"/>
          <bgColor theme="9" tint="0.79998168889431442"/>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border>
      <protection locked="1" hidden="1"/>
    </dxf>
    <dxf>
      <border diagonalUp="0" diagonalDown="0">
        <left style="thin">
          <color indexed="64"/>
        </left>
        <right style="thin">
          <color indexed="64"/>
        </right>
        <top style="medium">
          <color indexed="64"/>
        </top>
        <bottom style="thin">
          <color indexed="64"/>
        </bottom>
      </border>
    </dxf>
    <dxf>
      <alignment horizontal="general" vertical="center" textRotation="0" wrapText="1" indent="0" justifyLastLine="0" shrinkToFit="0" readingOrder="0"/>
      <protection locked="0" hidden="0"/>
    </dxf>
    <dxf>
      <font>
        <b/>
        <i val="0"/>
        <strike val="0"/>
        <condense val="0"/>
        <extend val="0"/>
        <outline val="0"/>
        <shadow val="0"/>
        <u val="none"/>
        <vertAlign val="baseline"/>
        <sz val="9"/>
        <color auto="1"/>
        <name val="Calibri Light"/>
        <scheme val="maj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border>
      <protection locked="0" hidden="0"/>
    </dxf>
    <dxf>
      <font>
        <b val="0"/>
        <i val="0"/>
        <strike val="0"/>
        <condense val="0"/>
        <extend val="0"/>
        <outline val="0"/>
        <shadow val="0"/>
        <u val="none"/>
        <vertAlign val="baseline"/>
        <sz val="9"/>
        <color theme="1"/>
        <name val="Calibri Light"/>
        <scheme val="major"/>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9"/>
        <color theme="1"/>
        <name val="Calibri Light"/>
        <scheme val="maj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theme="1"/>
        <name val="Calibri Light"/>
        <scheme val="maj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theme="1"/>
        <name val="Calibri Light"/>
        <scheme val="major"/>
      </font>
      <numFmt numFmtId="164" formatCode="d/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theme="1"/>
        <name val="Calibri Light"/>
        <scheme val="major"/>
      </font>
      <numFmt numFmtId="164" formatCode="d/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theme="1"/>
        <name val="Calibri Light"/>
        <scheme val="maj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theme="1"/>
        <name val="Calibri Light"/>
        <scheme val="maj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theme="1"/>
        <name val="Calibri Light"/>
        <scheme val="maj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theme="1"/>
        <name val="Calibri Light"/>
        <scheme val="maj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theme="1"/>
        <name val="Calibri Light"/>
        <scheme val="maj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theme="1"/>
        <name val="Calibri Light"/>
        <scheme val="maj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theme="1"/>
        <name val="Calibri Light"/>
        <scheme val="major"/>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9"/>
        <color theme="1"/>
        <name val="Calibri Light"/>
        <scheme val="major"/>
      </font>
      <numFmt numFmtId="14" formatCode="0.00%"/>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9"/>
        <color theme="1"/>
        <name val="Calibri Light"/>
        <scheme val="major"/>
      </font>
      <numFmt numFmtId="13" formatCode="0%"/>
      <fill>
        <patternFill patternType="solid">
          <fgColor indexed="64"/>
          <bgColor theme="7"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Calibri Light"/>
        <scheme val="major"/>
      </font>
      <numFmt numFmtId="13" formatCode="0%"/>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Calibri Light"/>
        <scheme val="major"/>
      </font>
      <numFmt numFmtId="13" formatCode="0%"/>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Calibri Light"/>
        <scheme val="major"/>
      </font>
      <numFmt numFmtId="13" formatCode="0%"/>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theme="1"/>
        <name val="Calibri Light"/>
        <scheme val="major"/>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Calibri Light"/>
        <scheme val="major"/>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Calibri Light"/>
        <scheme val="major"/>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Calibri Light"/>
        <scheme val="major"/>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Calibri Light"/>
        <scheme val="major"/>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Calibri Light"/>
        <scheme val="major"/>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theme="1"/>
        <name val="Calibri Light"/>
        <scheme val="maj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9"/>
        <color theme="1"/>
        <name val="Calibri Light"/>
        <scheme val="major"/>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theme="1"/>
        <name val="Calibri Light"/>
        <scheme val="major"/>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theme="1"/>
        <name val="Calibri Light"/>
        <scheme val="major"/>
      </font>
      <alignment horizontal="left" vertical="center" textRotation="0" wrapText="1"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theme="1"/>
        <name val="Calibri Light"/>
        <scheme val="maj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theme="1"/>
        <name val="Calibri Light"/>
        <scheme val="maj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theme="1"/>
        <name val="Calibri Light"/>
        <scheme val="maj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auto="1"/>
        <name val="Calibri Light"/>
        <scheme val="major"/>
      </font>
      <fill>
        <patternFill patternType="solid">
          <fgColor indexed="64"/>
          <bgColor theme="7"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Calibri Light"/>
        <scheme val="major"/>
      </font>
      <fill>
        <patternFill patternType="solid">
          <fgColor indexed="64"/>
          <bgColor theme="7"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Calibri Light"/>
        <scheme val="major"/>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Calibri Light"/>
        <scheme val="major"/>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9"/>
        <color theme="1"/>
        <name val="Calibri Light"/>
        <scheme val="major"/>
      </font>
      <numFmt numFmtId="0" formatCode="Genera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Light"/>
        <scheme val="major"/>
      </font>
      <alignment horizontal="center" vertical="center" textRotation="0" wrapText="1" indent="0" justifyLastLine="0" shrinkToFit="0" readingOrder="0"/>
      <protection locked="0" hidden="0"/>
    </dxf>
    <dxf>
      <font>
        <b/>
        <i val="0"/>
        <strike val="0"/>
        <condense val="0"/>
        <extend val="0"/>
        <outline val="0"/>
        <shadow val="0"/>
        <u val="none"/>
        <vertAlign val="baseline"/>
        <sz val="9"/>
        <color auto="1"/>
        <name val="Calibri Light"/>
        <scheme val="maj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tyles" Target="styles.xml"/><Relationship Id="rId9" Type="http://schemas.openxmlformats.org/officeDocument/2006/relationships/theme" Target="theme/theme1.xml"/><Relationship Id="rId14" Type="http://schemas.microsoft.com/office/2017/06/relationships/rdRichValueStructure" Target="richData/rdrichvaluestructure.xml"/><Relationship Id="rId17"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1</xdr:col>
      <xdr:colOff>38878</xdr:colOff>
      <xdr:row>0</xdr:row>
      <xdr:rowOff>97194</xdr:rowOff>
    </xdr:from>
    <xdr:to>
      <xdr:col>1</xdr:col>
      <xdr:colOff>1137169</xdr:colOff>
      <xdr:row>1</xdr:row>
      <xdr:rowOff>504084</xdr:rowOff>
    </xdr:to>
    <xdr:pic>
      <xdr:nvPicPr>
        <xdr:cNvPr id="2" name="Imagen 1">
          <a:extLst>
            <a:ext uri="{FF2B5EF4-FFF2-40B4-BE49-F238E27FC236}">
              <a16:creationId xmlns:a16="http://schemas.microsoft.com/office/drawing/2014/main" id="{3F48A6D1-80BF-4C37-84E1-4B396FA13E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2753" y="97194"/>
          <a:ext cx="1098291" cy="1121265"/>
        </a:xfrm>
        <a:prstGeom prst="rect">
          <a:avLst/>
        </a:prstGeom>
      </xdr:spPr>
    </xdr:pic>
    <xdr:clientData/>
  </xdr:twoCellAnchor>
  <xdr:twoCellAnchor editAs="oneCell">
    <xdr:from>
      <xdr:col>1</xdr:col>
      <xdr:colOff>38878</xdr:colOff>
      <xdr:row>0</xdr:row>
      <xdr:rowOff>97194</xdr:rowOff>
    </xdr:from>
    <xdr:to>
      <xdr:col>1</xdr:col>
      <xdr:colOff>1137169</xdr:colOff>
      <xdr:row>1</xdr:row>
      <xdr:rowOff>504084</xdr:rowOff>
    </xdr:to>
    <xdr:pic>
      <xdr:nvPicPr>
        <xdr:cNvPr id="3" name="Imagen 2">
          <a:extLst>
            <a:ext uri="{FF2B5EF4-FFF2-40B4-BE49-F238E27FC236}">
              <a16:creationId xmlns:a16="http://schemas.microsoft.com/office/drawing/2014/main" id="{D20DFE2B-1F20-41B6-9F94-1D0BBBE3C4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2753" y="97194"/>
          <a:ext cx="1098291" cy="1121265"/>
        </a:xfrm>
        <a:prstGeom prst="rect">
          <a:avLst/>
        </a:prstGeom>
      </xdr:spPr>
    </xdr:pic>
    <xdr:clientData/>
  </xdr:twoCellAnchor>
  <xdr:twoCellAnchor editAs="oneCell">
    <xdr:from>
      <xdr:col>2</xdr:col>
      <xdr:colOff>0</xdr:colOff>
      <xdr:row>55</xdr:row>
      <xdr:rowOff>419100</xdr:rowOff>
    </xdr:from>
    <xdr:to>
      <xdr:col>2</xdr:col>
      <xdr:colOff>5400040</xdr:colOff>
      <xdr:row>67</xdr:row>
      <xdr:rowOff>146050</xdr:rowOff>
    </xdr:to>
    <xdr:pic>
      <xdr:nvPicPr>
        <xdr:cNvPr id="4" name="Imagen 3">
          <a:extLst>
            <a:ext uri="{FF2B5EF4-FFF2-40B4-BE49-F238E27FC236}">
              <a16:creationId xmlns:a16="http://schemas.microsoft.com/office/drawing/2014/main" id="{CC7EEFF1-97F1-46F5-AA56-24500C9E9A2B}"/>
            </a:ext>
          </a:extLst>
        </xdr:cNvPr>
        <xdr:cNvPicPr>
          <a:picLocks noChangeAspect="1"/>
        </xdr:cNvPicPr>
      </xdr:nvPicPr>
      <xdr:blipFill>
        <a:blip xmlns:r="http://schemas.openxmlformats.org/officeDocument/2006/relationships" r:embed="rId2"/>
        <a:stretch>
          <a:fillRect/>
        </a:stretch>
      </xdr:blipFill>
      <xdr:spPr>
        <a:xfrm>
          <a:off x="1685925" y="34299525"/>
          <a:ext cx="5400040" cy="2241550"/>
        </a:xfrm>
        <a:prstGeom prst="rect">
          <a:avLst/>
        </a:prstGeom>
      </xdr:spPr>
    </xdr:pic>
    <xdr:clientData/>
  </xdr:twoCellAnchor>
  <xdr:twoCellAnchor editAs="oneCell">
    <xdr:from>
      <xdr:col>2</xdr:col>
      <xdr:colOff>171450</xdr:colOff>
      <xdr:row>68</xdr:row>
      <xdr:rowOff>200025</xdr:rowOff>
    </xdr:from>
    <xdr:to>
      <xdr:col>2</xdr:col>
      <xdr:colOff>5279390</xdr:colOff>
      <xdr:row>93</xdr:row>
      <xdr:rowOff>198120</xdr:rowOff>
    </xdr:to>
    <xdr:pic>
      <xdr:nvPicPr>
        <xdr:cNvPr id="5" name="Imagen 4">
          <a:extLst>
            <a:ext uri="{FF2B5EF4-FFF2-40B4-BE49-F238E27FC236}">
              <a16:creationId xmlns:a16="http://schemas.microsoft.com/office/drawing/2014/main" id="{ADC48D76-BC15-4482-BDBA-BEFF6494C35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57375" y="36928425"/>
          <a:ext cx="5107940" cy="5770245"/>
        </a:xfrm>
        <a:prstGeom prst="rect">
          <a:avLst/>
        </a:prstGeom>
        <a:noFill/>
        <a:ln>
          <a:noFill/>
        </a:ln>
      </xdr:spPr>
    </xdr:pic>
    <xdr:clientData/>
  </xdr:twoCellAnchor>
  <xdr:twoCellAnchor editAs="oneCell">
    <xdr:from>
      <xdr:col>2</xdr:col>
      <xdr:colOff>142875</xdr:colOff>
      <xdr:row>96</xdr:row>
      <xdr:rowOff>0</xdr:rowOff>
    </xdr:from>
    <xdr:to>
      <xdr:col>2</xdr:col>
      <xdr:colOff>5474970</xdr:colOff>
      <xdr:row>110</xdr:row>
      <xdr:rowOff>248920</xdr:rowOff>
    </xdr:to>
    <xdr:pic>
      <xdr:nvPicPr>
        <xdr:cNvPr id="6" name="Imagen 5">
          <a:extLst>
            <a:ext uri="{FF2B5EF4-FFF2-40B4-BE49-F238E27FC236}">
              <a16:creationId xmlns:a16="http://schemas.microsoft.com/office/drawing/2014/main" id="{97D82CEC-282F-41FD-9C91-4BA0B749273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28800" y="43548300"/>
          <a:ext cx="5332095" cy="4916170"/>
        </a:xfrm>
        <a:prstGeom prst="rect">
          <a:avLst/>
        </a:prstGeom>
        <a:noFill/>
        <a:ln>
          <a:noFill/>
        </a:ln>
      </xdr:spPr>
    </xdr:pic>
    <xdr:clientData/>
  </xdr:twoCellAnchor>
  <xdr:twoCellAnchor editAs="oneCell">
    <xdr:from>
      <xdr:col>1</xdr:col>
      <xdr:colOff>1143000</xdr:colOff>
      <xdr:row>133</xdr:row>
      <xdr:rowOff>561975</xdr:rowOff>
    </xdr:from>
    <xdr:to>
      <xdr:col>3</xdr:col>
      <xdr:colOff>75465</xdr:colOff>
      <xdr:row>139</xdr:row>
      <xdr:rowOff>66457</xdr:rowOff>
    </xdr:to>
    <xdr:pic>
      <xdr:nvPicPr>
        <xdr:cNvPr id="7" name="Imagen 6">
          <a:extLst>
            <a:ext uri="{FF2B5EF4-FFF2-40B4-BE49-F238E27FC236}">
              <a16:creationId xmlns:a16="http://schemas.microsoft.com/office/drawing/2014/main" id="{048F4C2D-3E69-42CC-9131-9A60B3A2D97D}"/>
            </a:ext>
          </a:extLst>
        </xdr:cNvPr>
        <xdr:cNvPicPr>
          <a:picLocks noChangeAspect="1"/>
        </xdr:cNvPicPr>
      </xdr:nvPicPr>
      <xdr:blipFill>
        <a:blip xmlns:r="http://schemas.openxmlformats.org/officeDocument/2006/relationships" r:embed="rId5"/>
        <a:stretch>
          <a:fillRect/>
        </a:stretch>
      </xdr:blipFill>
      <xdr:spPr>
        <a:xfrm>
          <a:off x="1666875" y="50749200"/>
          <a:ext cx="5876190" cy="17428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wendy.nunez/OneDrive%20-%20Instituto%20Hondure&#241;o%20de%20Seguridad%20Social/Cumplimiento/Cumplimiento%20Wendy/Cumplimiento%20Wendy%20(v2)/Cumplimiento/Riesgos/Matrices%20Cumplimiento/2025/Matriz%20SC%20Revisada%20y%20Corregida2%20(3).xlsx" TargetMode="External"/><Relationship Id="rId2" Type="http://schemas.microsoft.com/office/2019/04/relationships/externalLinkLongPath" Target="/Users/wendy.nunez/OneDrive%20-%20Instituto%20Hondure&#241;o%20de%20Seguridad%20Social/Cumplimiento/Cumplimiento%20Wendy/Cumplimiento%20Wendy%20(v2)/Cumplimiento/Riesgos/Matrices%20Cumplimiento/2025/Matriz%20SC%20Revisada%20y%20Corregida2%20(3).xlsx?DD343E1B" TargetMode="External"/><Relationship Id="rId1" Type="http://schemas.openxmlformats.org/officeDocument/2006/relationships/externalLinkPath" Target="file:///\\DD343E1B\Matriz%20SC%20Revisada%20y%20Corregida2%20(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wendy.nunez/Documents/Wendy/Matrices%20de%20Riesgo%20Areas/Matriz%20en%20blanco%20V5%20(UGR%2002-2026).xlsx" TargetMode="External"/><Relationship Id="rId1" Type="http://schemas.openxmlformats.org/officeDocument/2006/relationships/externalLinkPath" Target="/Users/wendy.nunez/Documents/Wendy/Matrices%20de%20Riesgo%20Areas/Matriz%20en%20blanco%20V5%20(UGR%20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Matriz Consolidada"/>
      <sheetName val="Actualizacion de la Matriz"/>
      <sheetName val="Listas"/>
      <sheetName val="Matriz SC Revisada y Corregida2"/>
    </sheetNames>
    <sheetDataSet>
      <sheetData sheetId="0"/>
      <sheetData sheetId="1" refreshError="1"/>
      <sheetData sheetId="2">
        <row r="38">
          <cell r="B38">
            <v>0.15</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vo"/>
      <sheetName val="Matriz Consolidada"/>
      <sheetName val="Actualizacion de la Matriz"/>
      <sheetName val="Otras Tablas"/>
      <sheetName val="Listas"/>
      <sheetName val="Matriz en blanco V5 (UGR 02-202"/>
    </sheetNames>
    <sheetDataSet>
      <sheetData sheetId="0"/>
      <sheetData sheetId="1"/>
      <sheetData sheetId="2"/>
      <sheetData sheetId="3">
        <row r="3">
          <cell r="B3">
            <v>0.7</v>
          </cell>
        </row>
        <row r="4">
          <cell r="B4">
            <v>0.15</v>
          </cell>
        </row>
        <row r="5">
          <cell r="B5">
            <v>0.15</v>
          </cell>
        </row>
      </sheetData>
      <sheetData sheetId="4"/>
      <sheetData sheetId="5" refreshError="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#REF!</fb>
    <v>3</v>
    <v>1</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Matriz_Riesgos" displayName="Matriz_Riesgos" ref="A1:CD60" totalsRowShown="0" headerRowDxfId="121" dataDxfId="120" headerRowBorderDxfId="118" tableBorderDxfId="119" totalsRowBorderDxfId="117">
  <autoFilter ref="A1:CD60" xr:uid="{00000000-0009-0000-0100-000002000000}"/>
  <tableColumns count="82">
    <tableColumn id="1" xr3:uid="{00000000-0010-0000-0000-000001000000}" name="No." dataDxfId="116"/>
    <tableColumn id="2" xr3:uid="{00000000-0010-0000-0000-000002000000}" name="Código de Riesgo" dataDxfId="115">
      <calculatedColumnFormula>IF(OR(Matriz_Riesgos[[#This Row],[No.]]="",Matriz_Riesgos[[#This Row],[Tipo de Riesgo]]="",Matriz_Riesgos[[#This Row],[Área Consolidada]]=""),"","R"&amp;VLOOKUP(Matriz_Riesgos[[#This Row],[Tipo de Riesgo]],t_tipos_riesgos[#All],2,FALSE)&amp;"-"&amp;VLOOKUP(Matriz_Riesgos[[#This Row],[Área Consolidada]],t_areas[],2,FALSE)&amp;"-"&amp;Matriz_Riesgos[[#This Row],[No.]])</calculatedColumnFormula>
    </tableColumn>
    <tableColumn id="3" xr3:uid="{00000000-0010-0000-0000-000003000000}" name="Área" dataDxfId="114">
      <calculatedColumnFormula>"R"&amp;MID(Matriz_Riesgos[[#This Row],[Tipo de Riesgo]],1,1)&amp;"-"&amp;Matriz_Riesgos[[#This Row],[No.]]</calculatedColumnFormula>
    </tableColumn>
    <tableColumn id="30" xr3:uid="{00000000-0010-0000-0000-00001E000000}" name="Área Consolidada" dataDxfId="113"/>
    <tableColumn id="4" xr3:uid="{00000000-0010-0000-0000-000004000000}" name="Tipo de Riesgo" dataDxfId="112"/>
    <tableColumn id="5" xr3:uid="{00000000-0010-0000-0000-000005000000}" name="Procedimiento" dataDxfId="111"/>
    <tableColumn id="28" xr3:uid="{00000000-0010-0000-0000-00001C000000}" name="Objetivo(s) Estratégico(s)" dataDxfId="110"/>
    <tableColumn id="6" xr3:uid="{00000000-0010-0000-0000-000006000000}" name="Riesgo Inherente" dataDxfId="109"/>
    <tableColumn id="7" xr3:uid="{00000000-0010-0000-0000-000007000000}" name="Evaluación" dataDxfId="108"/>
    <tableColumn id="9" xr3:uid="{00000000-0010-0000-0000-000009000000}" name="Frecuencia" dataDxfId="107"/>
    <tableColumn id="10" xr3:uid="{00000000-0010-0000-0000-00000A000000}" name="Impacto" dataDxfId="106"/>
    <tableColumn id="11" xr3:uid="{00000000-0010-0000-0000-00000B000000}" name="Valor del Riesgo Inherente" dataDxfId="105">
      <calculatedColumnFormula>IF((Matriz_Riesgos[[#This Row],[Frecuencia]]+Matriz_Riesgos[[#This Row],[Impacto]]-1)=-1,"",Matriz_Riesgos[[#This Row],[Frecuencia]]+Matriz_Riesgos[[#This Row],[Impacto]]-1)</calculatedColumnFormula>
    </tableColumn>
    <tableColumn id="29" xr3:uid="{00000000-0010-0000-0000-00001D000000}" name="Nivel de Riesgo Inherente" dataDxfId="104">
      <calculatedColumnFormula>IFERROR(VLOOKUP(Matriz_Riesgos[[#This Row],[Valor del Riesgo Inherente]],t_nivel_riesgo[],2,FALSE), "")</calculatedColumnFormula>
    </tableColumn>
    <tableColumn id="12" xr3:uid="{00000000-0010-0000-0000-00000C000000}" name="Responsable o dueño del riesgo" dataDxfId="103"/>
    <tableColumn id="46" xr3:uid="{00000000-0010-0000-0000-00002E000000}" name="Régimen afectado" dataDxfId="102"/>
    <tableColumn id="14" xr3:uid="{00000000-0010-0000-0000-00000E000000}" name="Transversalidad o Interrelación con otros Riesgos" dataDxfId="101"/>
    <tableColumn id="47" xr3:uid="{00000000-0010-0000-0000-00002F000000}" name="Amenazas (Solo para riesgos de GTIC)" dataDxfId="100"/>
    <tableColumn id="33" xr3:uid="{00000000-0010-0000-0000-000021000000}" name="Vulnerabilidades (Solo para riesgos de GTIC)" dataDxfId="99"/>
    <tableColumn id="8" xr3:uid="{00000000-0010-0000-0000-000008000000}" name="Activos de Información (Solo para riesgos de GTIC)" dataDxfId="98"/>
    <tableColumn id="13" xr3:uid="{00000000-0010-0000-0000-00000D000000}" name="Descripción de Control(es) Preventivo(s)" dataDxfId="97">
      <calculatedColumnFormula>IF(COUNTIFS(#REF!,B2,#REF!,"Preventivo")&gt;0,"X","")</calculatedColumnFormula>
    </tableColumn>
    <tableColumn id="17" xr3:uid="{00000000-0010-0000-0000-000011000000}" name="Escala de efectividad de control(es) preventivo(s)" dataDxfId="96"/>
    <tableColumn id="37" xr3:uid="{00000000-0010-0000-0000-000025000000}" name="Nivel de efectividad de control(es) preventivo(s)" dataDxfId="95">
      <calculatedColumnFormula>IFERROR(VLOOKUP(Matriz_Riesgos[[#This Row],[Escala de efectividad de control(es) preventivo(s)]],t_efectividad[],2,FALSE),"")</calculatedColumnFormula>
    </tableColumn>
    <tableColumn id="43" xr3:uid="{00000000-0010-0000-0000-00002B000000}" name="% efectividad de control(es) preventivo(s)" dataDxfId="94" dataCellStyle="Porcentaje">
      <calculatedColumnFormula>IFERROR(VLOOKUP(Matriz_Riesgos[[#This Row],[Escala de efectividad de control(es) preventivo(s)]],t_efectividad[],3,FALSE),"")</calculatedColumnFormula>
    </tableColumn>
    <tableColumn id="40" xr3:uid="{00000000-0010-0000-0000-000028000000}" name="Descripción de Control(es) Detectivo(s)" dataDxfId="93">
      <calculatedColumnFormula>IF(COUNTIFS(#REF!,B2,#REF!,"Detectivo")&gt;0,"X","")</calculatedColumnFormula>
    </tableColumn>
    <tableColumn id="41" xr3:uid="{00000000-0010-0000-0000-000029000000}" name="Escala de efectividad de control(es) detectivo(s)" dataDxfId="92"/>
    <tableColumn id="39" xr3:uid="{00000000-0010-0000-0000-000027000000}" name="Nivel de efectividad de control(es) detectivo(s)" dataDxfId="91">
      <calculatedColumnFormula>IFERROR(VLOOKUP(Matriz_Riesgos[[#This Row],[Escala de efectividad de control(es) detectivo(s)]],t_efectividad[],2,FALSE),"")</calculatedColumnFormula>
    </tableColumn>
    <tableColumn id="35" xr3:uid="{00000000-0010-0000-0000-000023000000}" name="% efectividad de control detectivo" dataDxfId="90" dataCellStyle="Porcentaje">
      <calculatedColumnFormula>IFERROR(VLOOKUP(Matriz_Riesgos[[#This Row],[Escala de efectividad de control(es) detectivo(s)]],t_efectividad[],3,FALSE),"")</calculatedColumnFormula>
    </tableColumn>
    <tableColumn id="38" xr3:uid="{00000000-0010-0000-0000-000026000000}" name="Descripción de Control(es) Correctivo(s)" dataDxfId="89">
      <calculatedColumnFormula>IF(COUNTIFS(#REF!,B2,#REF!,"Correctivo")&gt;0,"X","")</calculatedColumnFormula>
    </tableColumn>
    <tableColumn id="45" xr3:uid="{00000000-0010-0000-0000-00002D000000}" name="Escala de efectividad de control(es) correctivo(s)" dataDxfId="88"/>
    <tableColumn id="44" xr3:uid="{00000000-0010-0000-0000-00002C000000}" name="Nivel de efectividad de control(es) correctivo(s)" dataDxfId="87">
      <calculatedColumnFormula>IFERROR(VLOOKUP(Matriz_Riesgos[[#This Row],[Escala de efectividad de control(es) correctivo(s)]],t_efectividad[],2,FALSE),"")</calculatedColumnFormula>
    </tableColumn>
    <tableColumn id="36" xr3:uid="{00000000-0010-0000-0000-000024000000}" name="% efectividad de control correctivo" dataDxfId="86" dataCellStyle="Porcentaje">
      <calculatedColumnFormula>IFERROR(VLOOKUP(Matriz_Riesgos[[#This Row],[Escala de efectividad de control(es) correctivo(s)]],t_efectividad[],3,FALSE),"")</calculatedColumnFormula>
    </tableColumn>
    <tableColumn id="34" xr3:uid="{00000000-0010-0000-0000-000022000000}" name="Nivel de Automatización de los Controles" dataDxfId="85" dataCellStyle="Porcentaje"/>
    <tableColumn id="16" xr3:uid="{00000000-0010-0000-0000-000010000000}" name="Efectividad Total Ponderada de los Controles" dataDxfId="84" dataCellStyle="Porcentaje">
      <calculatedColumnFormula>IF(AND(Matriz_Riesgos[[#This Row],[Descripción de Control(es) Preventivo(s)]]="",Matriz_Riesgos[[#This Row],[Descripción de Control(es) Detectivo(s)]]="",Matriz_Riesgos[[#This Row],[Descripción de Control(es) Correctivo(s)]]=""),"",('Otras Tablas'!$B$3*IF(Matriz_Riesgos[[#This Row],[% efectividad de control(es) preventivo(s)]]="",0,Matriz_Riesgos[[#This Row],[% efectividad de control(es) preventivo(s)]]) + 'Otras Tablas'!$B$4*IF(Matriz_Riesgos[[#This Row],[% efectividad de control detectivo]]="",0,Matriz_Riesgos[[#This Row],[% efectividad de control detectivo]]) + 'Otras Tablas'!$B$5*IF(Matriz_Riesgos[[#This Row],[% efectividad de control correctivo]]="",0,Matriz_Riesgos[[#This Row],[% efectividad de control correctivo]])))</calculatedColumnFormula>
    </tableColumn>
    <tableColumn id="15" xr3:uid="{00000000-0010-0000-0000-00000F000000}" name="Riesgo Residual" dataDxfId="83">
      <calculatedColumnFormula>IF(Matriz_Riesgos[[#This Row],[Riesgo Inherente]]="","",Matriz_Riesgos[[#This Row],[Riesgo Inherente]])</calculatedColumnFormula>
    </tableColumn>
    <tableColumn id="49" xr3:uid="{00000000-0010-0000-0000-000031000000}" name="Frecuencia Residual" dataDxfId="82">
      <calculatedColumnFormula>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calculatedColumnFormula>
    </tableColumn>
    <tableColumn id="48" xr3:uid="{00000000-0010-0000-0000-000030000000}" name="Impacto Residual" dataDxfId="81">
      <calculatedColumnFormula>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calculatedColumnFormula>
    </tableColumn>
    <tableColumn id="18" xr3:uid="{00000000-0010-0000-0000-000012000000}" name="Valor del Riesgo Residual" dataDxfId="80">
      <calculatedColumnFormula>IFERROR(ROUND(MAX(1,Matriz_Riesgos[[#This Row],[Valor del Riesgo Inherente]]*(1 - Matriz_Riesgos[[#This Row],[Efectividad Total Ponderada de los Controles]])),0), "")</calculatedColumnFormula>
    </tableColumn>
    <tableColumn id="42" xr3:uid="{00000000-0010-0000-0000-00002A000000}" name="Nivel del Riesgo Residual" dataDxfId="79">
      <calculatedColumnFormula>IFERROR(VLOOKUP(Matriz_Riesgos[[#This Row],[Valor del Riesgo Residual]],t_nivel_riesgo[],2,FALSE),"")</calculatedColumnFormula>
    </tableColumn>
    <tableColumn id="19" xr3:uid="{00000000-0010-0000-0000-000013000000}" name="Respuesta al riesgo" dataDxfId="78"/>
    <tableColumn id="20" xr3:uid="{00000000-0010-0000-0000-000014000000}" name="Plan de Mitigación/Acciones Correctivas" dataDxfId="77"/>
    <tableColumn id="32" xr3:uid="{00000000-0010-0000-0000-000020000000}" name="No. Acciones de Mitigación" dataDxfId="76"/>
    <tableColumn id="25" xr3:uid="{00000000-0010-0000-0000-000019000000}" name="Actividades" dataDxfId="75"/>
    <tableColumn id="31" xr3:uid="{00000000-0010-0000-0000-00001F000000}" name="Cantidad de Actividades" dataDxfId="74"/>
    <tableColumn id="21" xr3:uid="{00000000-0010-0000-0000-000015000000}" name="Monitoreo/ Seguimiento" dataDxfId="73"/>
    <tableColumn id="22" xr3:uid="{00000000-0010-0000-0000-000016000000}" name="Responsables" dataDxfId="72"/>
    <tableColumn id="23" xr3:uid="{00000000-0010-0000-0000-000017000000}" name="Fecha inicio" dataDxfId="71"/>
    <tableColumn id="24" xr3:uid="{00000000-0010-0000-0000-000018000000}" name="Fecha final" dataDxfId="70"/>
    <tableColumn id="26" xr3:uid="{00000000-0010-0000-0000-00001A000000}" name="Recursos" dataDxfId="69"/>
    <tableColumn id="27" xr3:uid="{00000000-0010-0000-0000-00001B000000}" name="Presupuesto" dataDxfId="68"/>
    <tableColumn id="50" xr3:uid="{00000000-0010-0000-0000-000032000000}" name="Frecuencia Residual (AUX)" dataDxfId="67">
      <calculatedColumnFormula>IFERROR((1-Matriz_Riesgos[[#This Row],[Efectividad Total Ponderada de los Controles]])*Matriz_Riesgos[[#This Row],[Frecuencia]],"")</calculatedColumnFormula>
    </tableColumn>
    <tableColumn id="51" xr3:uid="{00000000-0010-0000-0000-000033000000}" name="Impacto Residual (AUX)" dataDxfId="66">
      <calculatedColumnFormula>IFERROR((1-Matriz_Riesgos[[#This Row],[Efectividad Total Ponderada de los Controles]])*Matriz_Riesgos[[#This Row],[Impacto]],"")</calculatedColumnFormula>
    </tableColumn>
    <tableColumn id="58" xr3:uid="{00000000-0010-0000-0000-00003A000000}" name="Suma Residual redondeada (AUX)" dataDxfId="65">
      <calculatedColumnFormula>IFERROR(Matriz_Riesgos[[#This Row],[Valor del Riesgo Residual]] + 1, "")</calculatedColumnFormula>
    </tableColumn>
    <tableColumn id="57" xr3:uid="{00000000-0010-0000-0000-000039000000}" name="F_base (AUX)" dataDxfId="64">
      <calculatedColumnFormula>IFERROR(MAX(1, ROUNDDOWN(Matriz_Riesgos[[#This Row],[Frecuencia Residual (AUX)]],0)),"")</calculatedColumnFormula>
    </tableColumn>
    <tableColumn id="56" xr3:uid="{00000000-0010-0000-0000-000038000000}" name="I_base (AUX)" dataDxfId="63">
      <calculatedColumnFormula>IFERROR(MAX(1, ROUNDDOWN(Matriz_Riesgos[[#This Row],[Impacto Residual (AUX)]],0)),"")</calculatedColumnFormula>
    </tableColumn>
    <tableColumn id="55" xr3:uid="{00000000-0010-0000-0000-000037000000}" name="Tope F (AUX)" dataDxfId="62">
      <calculatedColumnFormula>IF(Matriz_Riesgos[[#This Row],[Frecuencia]]="","",Matriz_Riesgos[[#This Row],[Frecuencia]])</calculatedColumnFormula>
    </tableColumn>
    <tableColumn id="54" xr3:uid="{00000000-0010-0000-0000-000036000000}" name="Tope I (AUX)" dataDxfId="61">
      <calculatedColumnFormula>IF(Matriz_Riesgos[[#This Row],[Impacto]]="","",Matriz_Riesgos[[#This Row],[Impacto]])</calculatedColumnFormula>
    </tableColumn>
    <tableColumn id="53" xr3:uid="{00000000-0010-0000-0000-000035000000}" name="Capacidad F (AUX)" dataDxfId="60">
      <calculatedColumnFormula>IF(OR(Matriz_Riesgos[[#This Row],[Tope F (AUX)]]="",Matriz_Riesgos[[#This Row],[F_base (AUX)]]=""),"",MAX(0,Matriz_Riesgos[[#This Row],[Tope F (AUX)]]-Matriz_Riesgos[[#This Row],[F_base (AUX)]]))</calculatedColumnFormula>
    </tableColumn>
    <tableColumn id="68" xr3:uid="{00000000-0010-0000-0000-000044000000}" name="Capacidad I (AUX)" dataDxfId="59">
      <calculatedColumnFormula>IF(OR(Matriz_Riesgos[[#This Row],[Tope I (AUX)]]="",Matriz_Riesgos[[#This Row],[I_base (AUX)]]=""),"",MAX(0,Matriz_Riesgos[[#This Row],[Tope I (AUX)]]-Matriz_Riesgos[[#This Row],[I_base (AUX)]]))</calculatedColumnFormula>
    </tableColumn>
    <tableColumn id="67" xr3:uid="{00000000-0010-0000-0000-000043000000}" name="Resto (AUX)" dataDxfId="58">
      <calculatedColumnFormula>IF(OR(Matriz_Riesgos[[#This Row],[Suma Residual redondeada (AUX)]]="",Matriz_Riesgos[[#This Row],[F_base (AUX)]]="",Matriz_Riesgos[[#This Row],[I_base (AUX)]]=""),"",MAX(0,Matriz_Riesgos[[#This Row],[Suma Residual redondeada (AUX)]]-(Matriz_Riesgos[[#This Row],[F_base (AUX)]]+Matriz_Riesgos[[#This Row],[I_base (AUX)]])))</calculatedColumnFormula>
    </tableColumn>
    <tableColumn id="66" xr3:uid="{00000000-0010-0000-0000-000042000000}" name="Prefiere I (AUX)" dataDxfId="57">
      <calculatedColumnFormula>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calculatedColumnFormula>
    </tableColumn>
    <tableColumn id="65" xr3:uid="{00000000-0010-0000-0000-000041000000}" name="Inc_I (AUX)" dataDxfId="56">
      <calculatedColumnFormula>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calculatedColumnFormula>
    </tableColumn>
    <tableColumn id="64" xr3:uid="{00000000-0010-0000-0000-000040000000}" name="Inc_F (AUX)" dataDxfId="55">
      <calculatedColumnFormula>IF(OR(Matriz_Riesgos[[#This Row],[Resto (AUX)]]="",Matriz_Riesgos[[#This Row],[Capacidad F (AUX)]]="",Matriz_Riesgos[[#This Row],[Inc_I (AUX)]]=""),"",MIN(Matriz_Riesgos[[#This Row],[Capacidad F (AUX)]], MAX(0,Matriz_Riesgos[[#This Row],[Resto (AUX)]]-Matriz_Riesgos[[#This Row],[Inc_I (AUX)]])))</calculatedColumnFormula>
    </tableColumn>
    <tableColumn id="63" xr3:uid="{00000000-0010-0000-0000-00003F000000}" name="Valor del Riesgo Residual (AUX)" dataDxfId="54">
      <calculatedColumnFormula>IFERROR(MAX(ROUND(Matriz_Riesgos[[#This Row],[Frecuencia Residual (AUX)]]+Matriz_Riesgos[[#This Row],[Impacto Residual (AUX)]]-1+Matriz_Riesgos[[#This Row],[Efectividad Total Ponderada de los Controles]],0),1),"")</calculatedColumnFormula>
    </tableColumn>
    <tableColumn id="62" xr3:uid="{00000000-0010-0000-0000-00003E000000}" name="Verificación" dataDxfId="53">
      <calculatedColumnFormula>IFERROR(Matriz_Riesgos[[#This Row],[Valor del Riesgo Residual]]-Matriz_Riesgos[[#This Row],[Valor del Riesgo Residual (AUX)]],"")</calculatedColumnFormula>
    </tableColumn>
    <tableColumn id="61" xr3:uid="{00000000-0010-0000-0000-00003D000000}" name="VRR 2" dataDxfId="52">
      <calculatedColumnFormula>IFERROR(Matriz_Riesgos[[#This Row],[Frecuencia Residual]]+Matriz_Riesgos[[#This Row],[Impacto Residual]]-1,"")</calculatedColumnFormula>
    </tableColumn>
    <tableColumn id="60" xr3:uid="{00000000-0010-0000-0000-00003C000000}" name="Verificar VRR 2" dataDxfId="51">
      <calculatedColumnFormula>IFERROR(Matriz_Riesgos[[#This Row],[Valor del Riesgo Residual]]-Matriz_Riesgos[[#This Row],[VRR 2]],"")</calculatedColumnFormula>
    </tableColumn>
    <tableColumn id="59" xr3:uid="{00000000-0010-0000-0000-00003B000000}" name="Verificar Frec" dataDxfId="50">
      <calculatedColumnFormula>IFERROR(Matriz_Riesgos[[#This Row],[Frecuencia]]-Matriz_Riesgos[[#This Row],[Frecuencia Residual]],"")</calculatedColumnFormula>
    </tableColumn>
    <tableColumn id="52" xr3:uid="{00000000-0010-0000-0000-000034000000}" name="Verificar Impact" dataDxfId="49">
      <calculatedColumnFormula>IFERROR(Matriz_Riesgos[[#This Row],[Impacto]]-Matriz_Riesgos[[#This Row],[Impacto Residual]],"")</calculatedColumnFormula>
    </tableColumn>
    <tableColumn id="69" xr3:uid="{00000000-0010-0000-0000-000045000000}" name="VRI-VRR" dataDxfId="48">
      <calculatedColumnFormula>IFERROR(Matriz_Riesgos[[#This Row],[Valor del Riesgo Inherente]]-Matriz_Riesgos[[#This Row],[Valor del Riesgo Residual]],"")</calculatedColumnFormula>
    </tableColumn>
    <tableColumn id="70" xr3:uid="{00000000-0010-0000-0000-000046000000}" name="Señales de Alerta" dataDxfId="47"/>
    <tableColumn id="71" name="Estado del Riesgo"/>
    <tableColumn id="72" name="Estado del Control Preventivo"/>
    <tableColumn id="73" name="Evaluación de la Efectividad del Control Preventivo"/>
    <tableColumn id="74" name="Evidencia(s) del Control Preventivo"/>
    <tableColumn id="75" name="Estado del Control Detectivo"/>
    <tableColumn id="76" name="Evaluación de la Efectividad del Control Detectivo"/>
    <tableColumn id="77" name="Evidencia(s) del Control Detectivo"/>
    <tableColumn id="78" name="Estado del Control Correctivo"/>
    <tableColumn id="79" name="Evaluación de la Efectividad del Control Correctivo"/>
    <tableColumn id="80" name="Evidencia(s) del Control Correctivo"/>
    <tableColumn id="81" name="Observaciones del Área"/>
    <tableColumn id="82" name="Observaciones UGR"/>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_efectividad" displayName="t_efectividad" ref="A29:C35" totalsRowShown="0" headerRowDxfId="30">
  <autoFilter ref="A29:C35" xr:uid="{00000000-0009-0000-0100-000001000000}"/>
  <tableColumns count="3">
    <tableColumn id="1" xr3:uid="{00000000-0010-0000-0200-000001000000}" name="Escala" dataDxfId="29"/>
    <tableColumn id="2" xr3:uid="{00000000-0010-0000-0200-000002000000}" name="Nivel" dataDxfId="28"/>
    <tableColumn id="3" xr3:uid="{00000000-0010-0000-0200-000003000000}" name="%" dataDxfId="2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_pesos_controles" displayName="t_pesos_controles" ref="A37:B40" totalsRowShown="0" headerRowDxfId="26">
  <autoFilter ref="A37:B40" xr:uid="{00000000-0009-0000-0100-000003000000}"/>
  <tableColumns count="2">
    <tableColumn id="1" xr3:uid="{00000000-0010-0000-0300-000001000000}" name="Pesos de controles" dataDxfId="25"/>
    <tableColumn id="2" xr3:uid="{00000000-0010-0000-0300-000002000000}" name="%" dataDxfId="24" dataCellStyle="Porcentaj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_regimenes" displayName="t_regimenes" ref="A42:A49" totalsRowShown="0" headerRowDxfId="23" dataDxfId="22">
  <autoFilter ref="A42:A49" xr:uid="{00000000-0009-0000-0100-000004000000}"/>
  <tableColumns count="1">
    <tableColumn id="1" xr3:uid="{00000000-0010-0000-0400-000001000000}" name="Regímenes" dataDxfId="2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_automatizacion" displayName="t_automatizacion" ref="A51:A54" totalsRowShown="0" headerRowDxfId="20" dataDxfId="19">
  <autoFilter ref="A51:A54" xr:uid="{00000000-0009-0000-0100-000005000000}"/>
  <tableColumns count="1">
    <tableColumn id="1" xr3:uid="{00000000-0010-0000-0500-000001000000}" name="Nivel de Automatización" dataDxfId="1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_nivel_riesgo" displayName="t_nivel_riesgo" ref="A16:B25" totalsRowShown="0" headerRowDxfId="17" dataDxfId="16">
  <autoFilter ref="A16:B25" xr:uid="{00000000-0009-0000-0100-000006000000}"/>
  <tableColumns count="2">
    <tableColumn id="1" xr3:uid="{00000000-0010-0000-0600-000001000000}" name="Valor del Riesgo" dataDxfId="15"/>
    <tableColumn id="2" xr3:uid="{00000000-0010-0000-0600-000002000000}" name="Nivel" dataDxfId="1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_tipos_riesgos" displayName="t_tipos_riesgos" ref="A1:B13" totalsRowShown="0" headerRowDxfId="13" dataDxfId="12">
  <autoFilter ref="A1:B13" xr:uid="{00000000-0009-0000-0100-000007000000}"/>
  <tableColumns count="2">
    <tableColumn id="1" xr3:uid="{00000000-0010-0000-0700-000001000000}" name="Tipos de Riesgo " dataDxfId="11"/>
    <tableColumn id="2" xr3:uid="{00000000-0010-0000-0700-000002000000}" name="Logo Tipos de Riesgos" dataDxfId="1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_resp_riesgo" displayName="t_resp_riesgo" ref="D1:D5" totalsRowShown="0" headerRowDxfId="9" dataDxfId="8">
  <autoFilter ref="D1:D5" xr:uid="{00000000-0009-0000-0100-000008000000}"/>
  <tableColumns count="1">
    <tableColumn id="1" xr3:uid="{00000000-0010-0000-0800-000001000000}" name="Respuesta al Riesgo" dataDxfId="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9000000}" name="t_valores_frec_imp" displayName="t_valores_frec_imp" ref="F1:F6" totalsRowShown="0" headerRowDxfId="6" dataDxfId="5">
  <autoFilter ref="F1:F6" xr:uid="{00000000-0009-0000-0100-000009000000}"/>
  <tableColumns count="1">
    <tableColumn id="1" xr3:uid="{00000000-0010-0000-0900-000001000000}" name="Frecuencia e Impacto " dataDxfId="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t_areas" displayName="t_areas" ref="H1:I23" totalsRowShown="0" headerRowDxfId="3" dataDxfId="2">
  <autoFilter ref="H1:I23" xr:uid="{00000000-0009-0000-0100-00000C000000}"/>
  <tableColumns count="2">
    <tableColumn id="1" xr3:uid="{00000000-0010-0000-0A00-000001000000}" name="Nombre del Área" dataDxfId="1"/>
    <tableColumn id="2" xr3:uid="{00000000-0010-0000-0A00-000002000000}" name="Nombre corto para la matriz"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2.bin"/><Relationship Id="rId6" Type="http://schemas.openxmlformats.org/officeDocument/2006/relationships/table" Target="../tables/table7.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0"/>
  <sheetViews>
    <sheetView workbookViewId="0">
      <selection activeCell="B6" sqref="B6:E6"/>
    </sheetView>
  </sheetViews>
  <sheetFormatPr defaultColWidth="11.42578125" defaultRowHeight="13.9"/>
  <cols>
    <col min="1" max="1" width="7.85546875" style="76" customWidth="1"/>
    <col min="2" max="2" width="17.42578125" style="76" customWidth="1"/>
    <col min="3" max="3" width="86.7109375" style="76" customWidth="1"/>
    <col min="4" max="4" width="11.42578125" style="76"/>
    <col min="5" max="5" width="24.140625" style="76" customWidth="1"/>
    <col min="6" max="16384" width="11.42578125" style="76"/>
  </cols>
  <sheetData>
    <row r="1" spans="1:5" customFormat="1" ht="56.25" customHeight="1" thickTop="1" thickBot="1">
      <c r="A1" s="60"/>
      <c r="B1" s="176"/>
      <c r="C1" s="61" t="s">
        <v>0</v>
      </c>
      <c r="D1" s="178"/>
      <c r="E1" s="179"/>
    </row>
    <row r="2" spans="1:5" customFormat="1" ht="56.25" customHeight="1" thickTop="1" thickBot="1">
      <c r="A2" s="60"/>
      <c r="B2" s="177"/>
      <c r="C2" s="62" t="s">
        <v>1</v>
      </c>
      <c r="D2" s="180"/>
      <c r="E2" s="181"/>
    </row>
    <row r="3" spans="1:5" customFormat="1" ht="18.600000000000001" thickTop="1">
      <c r="A3" s="63"/>
      <c r="B3" s="63"/>
      <c r="C3" s="63"/>
      <c r="D3" s="63"/>
      <c r="E3" s="63"/>
    </row>
    <row r="4" spans="1:5">
      <c r="A4" s="75"/>
      <c r="B4" s="68" t="s">
        <v>2</v>
      </c>
      <c r="D4" s="75"/>
      <c r="E4" s="75"/>
    </row>
    <row r="5" spans="1:5" ht="48" customHeight="1">
      <c r="A5" s="75"/>
      <c r="B5" s="182" t="s">
        <v>3</v>
      </c>
      <c r="C5" s="182"/>
      <c r="D5" s="182"/>
      <c r="E5" s="182"/>
    </row>
    <row r="6" spans="1:5" ht="34.5" customHeight="1">
      <c r="A6" s="75"/>
      <c r="B6" s="175" t="s">
        <v>4</v>
      </c>
      <c r="C6" s="175"/>
      <c r="D6" s="175"/>
      <c r="E6" s="175"/>
    </row>
    <row r="7" spans="1:5" ht="52.5" customHeight="1">
      <c r="A7" s="75"/>
      <c r="B7" s="173" t="s">
        <v>5</v>
      </c>
      <c r="C7" s="173"/>
      <c r="D7" s="173"/>
      <c r="E7" s="173"/>
    </row>
    <row r="8" spans="1:5" ht="33.75" customHeight="1">
      <c r="A8" s="75"/>
      <c r="B8" s="173" t="s">
        <v>6</v>
      </c>
      <c r="C8" s="173"/>
      <c r="D8" s="173"/>
      <c r="E8" s="173"/>
    </row>
    <row r="9" spans="1:5">
      <c r="A9" s="75"/>
      <c r="B9" s="75"/>
      <c r="C9" s="75"/>
      <c r="D9" s="75"/>
      <c r="E9" s="75"/>
    </row>
    <row r="10" spans="1:5">
      <c r="A10" s="75"/>
      <c r="B10" s="68" t="s">
        <v>7</v>
      </c>
      <c r="D10" s="75"/>
      <c r="E10" s="75"/>
    </row>
    <row r="11" spans="1:5" ht="52.5" customHeight="1">
      <c r="A11" s="75"/>
      <c r="B11" s="182" t="s">
        <v>8</v>
      </c>
      <c r="C11" s="182"/>
      <c r="D11" s="182"/>
      <c r="E11" s="182"/>
    </row>
    <row r="12" spans="1:5">
      <c r="A12" s="75"/>
      <c r="B12" s="75"/>
      <c r="C12" s="75"/>
      <c r="D12" s="75"/>
      <c r="E12" s="75"/>
    </row>
    <row r="13" spans="1:5">
      <c r="A13" s="75"/>
      <c r="B13" s="68" t="s">
        <v>9</v>
      </c>
      <c r="D13" s="75"/>
      <c r="E13" s="75"/>
    </row>
    <row r="14" spans="1:5" ht="42" customHeight="1">
      <c r="A14" s="75"/>
      <c r="B14" s="182" t="s">
        <v>10</v>
      </c>
      <c r="C14" s="182"/>
      <c r="D14" s="182"/>
      <c r="E14" s="182"/>
    </row>
    <row r="15" spans="1:5" ht="32.25" customHeight="1">
      <c r="A15" s="75"/>
      <c r="B15" s="173" t="s">
        <v>11</v>
      </c>
      <c r="C15" s="173"/>
      <c r="D15" s="173"/>
      <c r="E15" s="173"/>
    </row>
    <row r="16" spans="1:5" ht="42.75" customHeight="1">
      <c r="A16" s="75"/>
      <c r="B16" s="173" t="s">
        <v>12</v>
      </c>
      <c r="C16" s="173"/>
      <c r="D16" s="173"/>
      <c r="E16" s="173"/>
    </row>
    <row r="17" spans="1:5">
      <c r="A17" s="75"/>
      <c r="B17" s="75"/>
      <c r="C17" s="184"/>
      <c r="D17" s="184"/>
      <c r="E17" s="184"/>
    </row>
    <row r="18" spans="1:5">
      <c r="A18" s="75"/>
      <c r="B18" s="75" t="s">
        <v>13</v>
      </c>
      <c r="C18" s="79"/>
      <c r="D18" s="79"/>
      <c r="E18" s="79"/>
    </row>
    <row r="19" spans="1:5">
      <c r="A19" s="75"/>
      <c r="B19" s="75"/>
      <c r="C19" s="79" t="s">
        <v>14</v>
      </c>
      <c r="D19" s="79"/>
      <c r="E19" s="79"/>
    </row>
    <row r="20" spans="1:5">
      <c r="A20" s="75"/>
      <c r="B20" s="75"/>
      <c r="C20" s="79" t="s">
        <v>15</v>
      </c>
      <c r="D20" s="79"/>
      <c r="E20" s="79"/>
    </row>
    <row r="21" spans="1:5">
      <c r="A21" s="75"/>
      <c r="B21" s="75"/>
      <c r="C21" s="79" t="s">
        <v>16</v>
      </c>
      <c r="D21" s="79"/>
      <c r="E21" s="79"/>
    </row>
    <row r="22" spans="1:5">
      <c r="A22" s="75"/>
      <c r="B22" s="75"/>
      <c r="C22" s="79" t="s">
        <v>17</v>
      </c>
      <c r="D22" s="79"/>
      <c r="E22" s="79"/>
    </row>
    <row r="23" spans="1:5">
      <c r="A23" s="75"/>
      <c r="B23" s="75"/>
      <c r="C23" s="79"/>
      <c r="D23" s="79"/>
      <c r="E23" s="79"/>
    </row>
    <row r="24" spans="1:5" ht="14.45" thickBot="1">
      <c r="A24" s="75"/>
      <c r="B24" s="75" t="s">
        <v>18</v>
      </c>
      <c r="C24" s="80"/>
      <c r="D24" s="80"/>
      <c r="E24" s="80"/>
    </row>
    <row r="25" spans="1:5" ht="14.45" thickBot="1">
      <c r="A25" s="75"/>
      <c r="B25" s="81"/>
      <c r="C25" s="82" t="s">
        <v>19</v>
      </c>
      <c r="D25" s="83"/>
      <c r="E25" s="83"/>
    </row>
    <row r="26" spans="1:5" ht="14.45" thickBot="1">
      <c r="A26" s="75"/>
      <c r="B26" s="84"/>
      <c r="C26" s="82" t="s">
        <v>20</v>
      </c>
      <c r="D26" s="78"/>
      <c r="E26" s="78"/>
    </row>
    <row r="27" spans="1:5" ht="14.45" thickBot="1">
      <c r="A27" s="75"/>
      <c r="B27" s="85"/>
      <c r="C27" s="82" t="s">
        <v>21</v>
      </c>
      <c r="D27" s="82"/>
      <c r="E27" s="82"/>
    </row>
    <row r="28" spans="1:5" ht="14.45" thickBot="1">
      <c r="A28" s="75"/>
      <c r="B28" s="86"/>
      <c r="C28" s="82" t="s">
        <v>22</v>
      </c>
      <c r="D28" s="78"/>
      <c r="E28" s="78"/>
    </row>
    <row r="29" spans="1:5">
      <c r="A29" s="75"/>
      <c r="C29" s="82"/>
      <c r="D29" s="78"/>
      <c r="E29" s="78"/>
    </row>
    <row r="30" spans="1:5">
      <c r="A30" s="75"/>
      <c r="B30" s="173" t="s">
        <v>23</v>
      </c>
      <c r="C30" s="173"/>
      <c r="D30" s="173"/>
      <c r="E30" s="173"/>
    </row>
    <row r="31" spans="1:5" ht="18" customHeight="1">
      <c r="A31" s="75"/>
      <c r="B31" s="173"/>
      <c r="C31" s="173"/>
      <c r="D31" s="173"/>
      <c r="E31" s="173"/>
    </row>
    <row r="32" spans="1:5">
      <c r="A32" s="75"/>
      <c r="B32" s="75"/>
      <c r="C32" s="174"/>
      <c r="D32" s="174"/>
      <c r="E32" s="174"/>
    </row>
    <row r="33" spans="1:5">
      <c r="A33" s="75"/>
      <c r="B33" s="171" t="s">
        <v>24</v>
      </c>
      <c r="C33" s="171"/>
      <c r="D33" s="171"/>
      <c r="E33" s="171"/>
    </row>
    <row r="34" spans="1:5" ht="33.75" customHeight="1">
      <c r="A34" s="75"/>
      <c r="B34" s="173" t="s">
        <v>25</v>
      </c>
      <c r="C34" s="173"/>
      <c r="D34" s="173"/>
      <c r="E34" s="173"/>
    </row>
    <row r="35" spans="1:5">
      <c r="A35" s="75"/>
      <c r="B35" s="75"/>
      <c r="C35" s="87"/>
      <c r="D35" s="75"/>
      <c r="E35" s="75"/>
    </row>
    <row r="36" spans="1:5">
      <c r="A36" s="75"/>
      <c r="B36" s="171" t="s">
        <v>26</v>
      </c>
      <c r="C36" s="171"/>
      <c r="D36" s="171"/>
      <c r="E36" s="171"/>
    </row>
    <row r="37" spans="1:5">
      <c r="A37" s="75"/>
      <c r="B37" s="88"/>
      <c r="C37" s="75" t="s">
        <v>27</v>
      </c>
      <c r="D37" s="75"/>
      <c r="E37" s="75"/>
    </row>
    <row r="38" spans="1:5">
      <c r="A38" s="75"/>
      <c r="B38" s="75"/>
      <c r="C38" s="89" t="s">
        <v>28</v>
      </c>
      <c r="D38" s="75"/>
      <c r="E38" s="75"/>
    </row>
    <row r="39" spans="1:5">
      <c r="A39" s="75"/>
      <c r="B39" s="75"/>
      <c r="C39" s="89" t="s">
        <v>29</v>
      </c>
      <c r="D39" s="75"/>
      <c r="E39" s="75"/>
    </row>
    <row r="40" spans="1:5">
      <c r="A40" s="75"/>
      <c r="B40" s="75"/>
      <c r="C40" s="90"/>
      <c r="D40" s="75"/>
      <c r="E40" s="75"/>
    </row>
    <row r="41" spans="1:5">
      <c r="A41" s="75"/>
      <c r="B41" s="68" t="s">
        <v>30</v>
      </c>
      <c r="C41" s="68"/>
      <c r="D41" s="75"/>
      <c r="E41" s="75"/>
    </row>
    <row r="42" spans="1:5" ht="64.5" customHeight="1">
      <c r="A42" s="75"/>
      <c r="B42" s="173" t="s">
        <v>31</v>
      </c>
      <c r="C42" s="173"/>
      <c r="D42" s="173"/>
      <c r="E42" s="173"/>
    </row>
    <row r="43" spans="1:5">
      <c r="A43" s="75"/>
      <c r="B43" s="183"/>
      <c r="C43" s="183"/>
      <c r="D43" s="183"/>
      <c r="E43" s="183"/>
    </row>
    <row r="44" spans="1:5" ht="35.25" customHeight="1">
      <c r="A44" s="75"/>
      <c r="B44" s="82" t="s">
        <v>32</v>
      </c>
      <c r="C44" s="173" t="s">
        <v>33</v>
      </c>
      <c r="D44" s="173"/>
      <c r="E44" s="173"/>
    </row>
    <row r="45" spans="1:5" ht="29.25" customHeight="1">
      <c r="A45" s="75"/>
      <c r="B45" s="78" t="s">
        <v>34</v>
      </c>
      <c r="C45" s="173" t="s">
        <v>35</v>
      </c>
      <c r="D45" s="173"/>
      <c r="E45" s="173"/>
    </row>
    <row r="46" spans="1:5" ht="26.25" customHeight="1">
      <c r="A46" s="75"/>
      <c r="B46" s="78" t="s">
        <v>36</v>
      </c>
      <c r="C46" s="173" t="s">
        <v>37</v>
      </c>
      <c r="D46" s="173"/>
      <c r="E46" s="78"/>
    </row>
    <row r="47" spans="1:5" ht="27.6">
      <c r="A47" s="75"/>
      <c r="B47" s="78" t="s">
        <v>38</v>
      </c>
      <c r="C47" s="173" t="s">
        <v>39</v>
      </c>
      <c r="D47" s="173"/>
      <c r="E47" s="173"/>
    </row>
    <row r="48" spans="1:5" ht="27.6">
      <c r="A48" s="75"/>
      <c r="B48" s="78" t="s">
        <v>40</v>
      </c>
      <c r="C48" s="173" t="s">
        <v>41</v>
      </c>
      <c r="D48" s="173"/>
      <c r="E48" s="173"/>
    </row>
    <row r="49" spans="1:5" ht="363" customHeight="1">
      <c r="A49" s="75"/>
      <c r="B49" s="78" t="s">
        <v>42</v>
      </c>
      <c r="C49" s="173" t="s">
        <v>43</v>
      </c>
      <c r="D49" s="173"/>
      <c r="E49" s="173"/>
    </row>
    <row r="50" spans="1:5" ht="79.5" customHeight="1">
      <c r="A50" s="75"/>
      <c r="B50" s="78"/>
      <c r="C50" s="173" t="s">
        <v>44</v>
      </c>
      <c r="D50" s="173"/>
      <c r="E50" s="173"/>
    </row>
    <row r="51" spans="1:5" ht="34.5" customHeight="1">
      <c r="A51" s="75"/>
      <c r="B51" s="78"/>
      <c r="C51" s="173" t="s">
        <v>45</v>
      </c>
      <c r="D51" s="173"/>
      <c r="E51" s="173"/>
    </row>
    <row r="52" spans="1:5" ht="109.5" customHeight="1">
      <c r="A52" s="75"/>
      <c r="B52" s="78"/>
      <c r="C52" s="173" t="s">
        <v>46</v>
      </c>
      <c r="D52" s="173"/>
      <c r="E52" s="173"/>
    </row>
    <row r="53" spans="1:5" ht="62.25" customHeight="1">
      <c r="A53" s="75"/>
      <c r="B53" s="91" t="s">
        <v>47</v>
      </c>
      <c r="C53" s="173" t="s">
        <v>48</v>
      </c>
      <c r="D53" s="173"/>
      <c r="E53" s="173"/>
    </row>
    <row r="54" spans="1:5" ht="168" customHeight="1">
      <c r="A54" s="75"/>
      <c r="B54" s="78"/>
      <c r="C54" s="173" t="s">
        <v>49</v>
      </c>
      <c r="D54" s="173"/>
      <c r="E54" s="173"/>
    </row>
    <row r="55" spans="1:5" ht="168" customHeight="1">
      <c r="A55" s="75"/>
      <c r="B55" s="78"/>
      <c r="C55" s="173" t="s">
        <v>50</v>
      </c>
      <c r="D55" s="173"/>
      <c r="E55" s="173"/>
    </row>
    <row r="56" spans="1:5" ht="27.6">
      <c r="A56" s="75"/>
      <c r="B56" s="78" t="s">
        <v>51</v>
      </c>
      <c r="C56" s="78" t="s">
        <v>52</v>
      </c>
      <c r="D56" s="78"/>
      <c r="E56" s="78"/>
    </row>
    <row r="57" spans="1:5">
      <c r="A57" s="75"/>
      <c r="B57" s="78"/>
      <c r="C57" s="78"/>
      <c r="D57" s="78"/>
      <c r="E57" s="78"/>
    </row>
    <row r="58" spans="1:5">
      <c r="A58" s="75"/>
      <c r="B58" s="78"/>
      <c r="C58" s="78"/>
      <c r="D58" s="78"/>
      <c r="E58" s="78"/>
    </row>
    <row r="59" spans="1:5">
      <c r="A59" s="75"/>
      <c r="B59" s="78"/>
      <c r="C59" s="78"/>
      <c r="D59" s="78"/>
      <c r="E59" s="78"/>
    </row>
    <row r="60" spans="1:5">
      <c r="A60" s="75"/>
      <c r="B60" s="78"/>
      <c r="C60" s="78"/>
      <c r="D60" s="78"/>
      <c r="E60" s="78"/>
    </row>
    <row r="61" spans="1:5">
      <c r="A61" s="75"/>
      <c r="B61" s="78"/>
      <c r="C61" s="78"/>
      <c r="D61" s="78"/>
      <c r="E61" s="78"/>
    </row>
    <row r="62" spans="1:5">
      <c r="A62" s="75"/>
      <c r="B62" s="78"/>
      <c r="C62" s="78"/>
      <c r="D62" s="78"/>
      <c r="E62" s="78"/>
    </row>
    <row r="63" spans="1:5">
      <c r="A63" s="75"/>
      <c r="B63" s="78"/>
      <c r="C63" s="78"/>
      <c r="D63" s="78"/>
      <c r="E63" s="78"/>
    </row>
    <row r="64" spans="1:5">
      <c r="A64" s="75"/>
      <c r="B64" s="78"/>
      <c r="C64" s="78"/>
      <c r="D64" s="78"/>
      <c r="E64" s="78"/>
    </row>
    <row r="65" spans="1:5">
      <c r="A65" s="75"/>
      <c r="B65" s="78"/>
      <c r="C65" s="78"/>
      <c r="D65" s="78"/>
      <c r="E65" s="78"/>
    </row>
    <row r="66" spans="1:5">
      <c r="A66" s="75"/>
      <c r="B66" s="78"/>
      <c r="C66" s="78"/>
      <c r="D66" s="78"/>
      <c r="E66" s="78"/>
    </row>
    <row r="67" spans="1:5">
      <c r="A67" s="75"/>
      <c r="B67" s="78"/>
      <c r="C67" s="78"/>
      <c r="D67" s="78"/>
      <c r="E67" s="78"/>
    </row>
    <row r="68" spans="1:5">
      <c r="A68" s="75"/>
      <c r="B68" s="78"/>
      <c r="C68" s="78"/>
      <c r="D68" s="78"/>
      <c r="E68" s="78"/>
    </row>
    <row r="69" spans="1:5">
      <c r="A69" s="75"/>
      <c r="B69" s="78" t="s">
        <v>53</v>
      </c>
      <c r="C69" s="78" t="s">
        <v>52</v>
      </c>
      <c r="D69" s="78"/>
      <c r="E69" s="78"/>
    </row>
    <row r="70" spans="1:5">
      <c r="A70" s="75"/>
      <c r="B70" s="78"/>
      <c r="C70" s="78"/>
      <c r="D70" s="78"/>
      <c r="E70" s="78"/>
    </row>
    <row r="71" spans="1:5">
      <c r="A71" s="75"/>
      <c r="B71" s="78"/>
      <c r="C71" s="78"/>
      <c r="D71" s="78"/>
      <c r="E71" s="78"/>
    </row>
    <row r="72" spans="1:5">
      <c r="A72" s="75"/>
      <c r="B72" s="78"/>
      <c r="C72" s="78"/>
      <c r="D72" s="78"/>
      <c r="E72" s="78"/>
    </row>
    <row r="73" spans="1:5">
      <c r="A73" s="75"/>
      <c r="B73" s="78"/>
      <c r="C73" s="78"/>
      <c r="D73" s="78"/>
      <c r="E73" s="78"/>
    </row>
    <row r="74" spans="1:5">
      <c r="A74" s="75"/>
      <c r="B74" s="78"/>
      <c r="C74" s="78"/>
      <c r="D74" s="78"/>
      <c r="E74" s="78"/>
    </row>
    <row r="75" spans="1:5">
      <c r="A75" s="75"/>
      <c r="B75" s="78"/>
      <c r="C75" s="78"/>
      <c r="D75" s="78"/>
      <c r="E75" s="78"/>
    </row>
    <row r="76" spans="1:5">
      <c r="A76" s="75"/>
      <c r="B76" s="78"/>
      <c r="C76" s="78"/>
      <c r="D76" s="78"/>
      <c r="E76" s="78"/>
    </row>
    <row r="77" spans="1:5">
      <c r="A77" s="75"/>
      <c r="B77" s="78"/>
      <c r="C77" s="78"/>
      <c r="D77" s="78"/>
      <c r="E77" s="78"/>
    </row>
    <row r="78" spans="1:5">
      <c r="A78" s="75"/>
      <c r="B78" s="78"/>
      <c r="C78" s="78"/>
      <c r="D78" s="78"/>
      <c r="E78" s="78"/>
    </row>
    <row r="79" spans="1:5">
      <c r="A79" s="75"/>
      <c r="B79" s="78"/>
      <c r="C79" s="78"/>
      <c r="D79" s="78"/>
      <c r="E79" s="78"/>
    </row>
    <row r="80" spans="1:5">
      <c r="A80" s="75"/>
      <c r="B80" s="78"/>
      <c r="C80" s="78"/>
      <c r="D80" s="78"/>
      <c r="E80" s="78"/>
    </row>
    <row r="81" spans="1:5">
      <c r="A81" s="75"/>
      <c r="B81" s="78"/>
      <c r="C81" s="78"/>
      <c r="D81" s="78"/>
      <c r="E81" s="78"/>
    </row>
    <row r="82" spans="1:5">
      <c r="A82" s="75"/>
      <c r="B82" s="78"/>
      <c r="C82" s="78"/>
      <c r="D82" s="78"/>
      <c r="E82" s="78"/>
    </row>
    <row r="83" spans="1:5">
      <c r="A83" s="75"/>
      <c r="B83" s="78"/>
      <c r="C83" s="78"/>
      <c r="D83" s="78"/>
      <c r="E83" s="78"/>
    </row>
    <row r="84" spans="1:5">
      <c r="A84" s="75"/>
      <c r="B84" s="78"/>
      <c r="C84" s="78"/>
      <c r="D84" s="78"/>
      <c r="E84" s="78"/>
    </row>
    <row r="85" spans="1:5">
      <c r="A85" s="75"/>
      <c r="B85" s="78"/>
      <c r="C85" s="78"/>
      <c r="D85" s="78"/>
      <c r="E85" s="78"/>
    </row>
    <row r="86" spans="1:5">
      <c r="A86" s="75"/>
      <c r="B86" s="78"/>
      <c r="C86" s="78"/>
      <c r="D86" s="78"/>
      <c r="E86" s="78"/>
    </row>
    <row r="87" spans="1:5" ht="26.25" customHeight="1">
      <c r="A87" s="75"/>
      <c r="B87" s="82"/>
      <c r="C87" s="82"/>
      <c r="D87" s="82"/>
      <c r="E87" s="82"/>
    </row>
    <row r="88" spans="1:5" ht="26.25" customHeight="1">
      <c r="A88" s="75"/>
      <c r="B88" s="82"/>
      <c r="C88" s="82"/>
      <c r="D88" s="82"/>
      <c r="E88" s="82"/>
    </row>
    <row r="89" spans="1:5" ht="26.25" customHeight="1">
      <c r="A89" s="75"/>
      <c r="B89" s="82"/>
      <c r="C89" s="82"/>
      <c r="D89" s="82"/>
      <c r="E89" s="82"/>
    </row>
    <row r="90" spans="1:5" ht="26.25" customHeight="1">
      <c r="A90" s="75"/>
      <c r="B90" s="82"/>
      <c r="C90" s="82"/>
      <c r="D90" s="82"/>
      <c r="E90" s="82"/>
    </row>
    <row r="91" spans="1:5" ht="26.25" customHeight="1">
      <c r="A91" s="75"/>
      <c r="B91" s="82"/>
      <c r="C91" s="82"/>
      <c r="D91" s="82"/>
      <c r="E91" s="82"/>
    </row>
    <row r="92" spans="1:5" ht="26.25" customHeight="1">
      <c r="A92" s="75"/>
      <c r="B92" s="82"/>
      <c r="C92" s="82"/>
      <c r="D92" s="82"/>
      <c r="E92" s="82"/>
    </row>
    <row r="93" spans="1:5" ht="26.25" customHeight="1">
      <c r="A93" s="75"/>
      <c r="B93" s="82"/>
      <c r="C93" s="82"/>
      <c r="D93" s="82"/>
      <c r="E93" s="82"/>
    </row>
    <row r="94" spans="1:5" ht="26.25" customHeight="1">
      <c r="A94" s="75"/>
      <c r="B94" s="82"/>
      <c r="C94" s="82"/>
      <c r="D94" s="82"/>
      <c r="E94" s="82"/>
    </row>
    <row r="95" spans="1:5" ht="27.6">
      <c r="A95" s="75"/>
      <c r="B95" s="82" t="s">
        <v>54</v>
      </c>
      <c r="C95" s="82" t="s">
        <v>55</v>
      </c>
      <c r="D95" s="82"/>
      <c r="E95" s="82"/>
    </row>
    <row r="96" spans="1:5" ht="27.6">
      <c r="A96" s="75"/>
      <c r="B96" s="82" t="s">
        <v>56</v>
      </c>
      <c r="C96" s="82" t="s">
        <v>57</v>
      </c>
      <c r="D96" s="82"/>
      <c r="E96" s="82"/>
    </row>
    <row r="97" spans="1:5" ht="26.25" customHeight="1">
      <c r="A97" s="75"/>
      <c r="B97" s="82"/>
      <c r="C97" s="82"/>
      <c r="D97" s="82"/>
      <c r="E97" s="82"/>
    </row>
    <row r="98" spans="1:5" ht="26.25" customHeight="1">
      <c r="A98" s="75"/>
      <c r="B98" s="82"/>
      <c r="C98" s="82"/>
      <c r="D98" s="82"/>
      <c r="E98" s="82"/>
    </row>
    <row r="99" spans="1:5" ht="26.25" customHeight="1">
      <c r="A99" s="75"/>
      <c r="B99" s="82"/>
      <c r="C99" s="82"/>
      <c r="D99" s="82"/>
      <c r="E99" s="82"/>
    </row>
    <row r="100" spans="1:5" ht="26.25" customHeight="1">
      <c r="A100" s="75"/>
      <c r="B100" s="82"/>
      <c r="C100" s="82"/>
      <c r="D100" s="82"/>
      <c r="E100" s="82"/>
    </row>
    <row r="101" spans="1:5" ht="26.25" customHeight="1">
      <c r="A101" s="75"/>
      <c r="B101" s="82"/>
      <c r="C101" s="82"/>
      <c r="D101" s="82"/>
      <c r="E101" s="82"/>
    </row>
    <row r="102" spans="1:5" ht="26.25" customHeight="1">
      <c r="A102" s="75"/>
      <c r="B102" s="82"/>
      <c r="C102" s="82"/>
      <c r="D102" s="82"/>
      <c r="E102" s="82"/>
    </row>
    <row r="103" spans="1:5" ht="26.25" customHeight="1">
      <c r="A103" s="75"/>
      <c r="B103" s="82"/>
      <c r="C103" s="82"/>
      <c r="D103" s="82"/>
      <c r="E103" s="82"/>
    </row>
    <row r="104" spans="1:5" ht="26.25" customHeight="1">
      <c r="A104" s="75"/>
      <c r="B104" s="82"/>
      <c r="C104" s="82"/>
      <c r="D104" s="82"/>
      <c r="E104" s="82"/>
    </row>
    <row r="105" spans="1:5" ht="26.25" customHeight="1">
      <c r="A105" s="75"/>
      <c r="B105" s="82"/>
      <c r="C105" s="82"/>
      <c r="D105" s="82"/>
      <c r="E105" s="82"/>
    </row>
    <row r="106" spans="1:5" ht="26.25" customHeight="1">
      <c r="A106" s="75"/>
      <c r="B106" s="82"/>
      <c r="C106" s="82"/>
      <c r="D106" s="82"/>
      <c r="E106" s="82"/>
    </row>
    <row r="107" spans="1:5" ht="26.25" customHeight="1">
      <c r="A107" s="75"/>
      <c r="B107" s="82"/>
      <c r="C107" s="82"/>
      <c r="D107" s="82"/>
      <c r="E107" s="82"/>
    </row>
    <row r="108" spans="1:5" ht="26.25" customHeight="1">
      <c r="A108" s="75"/>
      <c r="B108" s="82"/>
      <c r="C108" s="82"/>
      <c r="D108" s="82"/>
      <c r="E108" s="82"/>
    </row>
    <row r="109" spans="1:5" ht="26.25" customHeight="1">
      <c r="A109" s="75"/>
      <c r="B109" s="82"/>
      <c r="C109" s="82"/>
      <c r="D109" s="82"/>
      <c r="E109" s="82"/>
    </row>
    <row r="110" spans="1:5" ht="26.25" customHeight="1">
      <c r="A110" s="75"/>
      <c r="B110" s="82"/>
      <c r="C110" s="82"/>
      <c r="D110" s="82"/>
      <c r="E110" s="82"/>
    </row>
    <row r="111" spans="1:5" ht="26.25" customHeight="1">
      <c r="A111" s="75"/>
      <c r="B111" s="82"/>
      <c r="C111" s="82"/>
      <c r="D111" s="82"/>
      <c r="E111" s="82"/>
    </row>
    <row r="112" spans="1:5" ht="27.6">
      <c r="A112" s="75"/>
      <c r="B112" s="82" t="s">
        <v>58</v>
      </c>
      <c r="C112" s="82" t="s">
        <v>59</v>
      </c>
      <c r="D112" s="82"/>
      <c r="E112" s="82"/>
    </row>
    <row r="113" spans="1:5" ht="26.25" customHeight="1">
      <c r="A113" s="75"/>
      <c r="B113" s="82" t="s">
        <v>60</v>
      </c>
      <c r="C113" s="82" t="s">
        <v>61</v>
      </c>
      <c r="D113" s="82"/>
      <c r="E113" s="82"/>
    </row>
    <row r="114" spans="1:5" ht="41.45">
      <c r="A114" s="75"/>
      <c r="B114" s="82" t="s">
        <v>62</v>
      </c>
      <c r="C114" s="82" t="s">
        <v>63</v>
      </c>
      <c r="D114" s="82"/>
      <c r="E114" s="82"/>
    </row>
    <row r="115" spans="1:5" ht="31.5" customHeight="1">
      <c r="A115" s="75"/>
      <c r="B115" s="82" t="s">
        <v>64</v>
      </c>
      <c r="C115" s="173" t="s">
        <v>65</v>
      </c>
      <c r="D115" s="173"/>
      <c r="E115" s="173"/>
    </row>
    <row r="116" spans="1:5" ht="30" customHeight="1">
      <c r="A116" s="75"/>
      <c r="B116" s="82" t="s">
        <v>66</v>
      </c>
      <c r="C116" s="173" t="s">
        <v>67</v>
      </c>
      <c r="D116" s="173"/>
      <c r="E116" s="173"/>
    </row>
    <row r="117" spans="1:5" ht="33" customHeight="1">
      <c r="A117" s="75"/>
      <c r="B117" s="82" t="s">
        <v>68</v>
      </c>
      <c r="C117" s="173" t="s">
        <v>69</v>
      </c>
      <c r="D117" s="173"/>
      <c r="E117" s="173"/>
    </row>
    <row r="118" spans="1:5">
      <c r="A118" s="75"/>
      <c r="B118" s="82"/>
      <c r="C118" s="82"/>
      <c r="D118" s="82"/>
      <c r="E118" s="82"/>
    </row>
    <row r="119" spans="1:5" ht="26.25" customHeight="1">
      <c r="A119" s="75"/>
      <c r="B119" s="171" t="s">
        <v>70</v>
      </c>
      <c r="C119" s="171"/>
      <c r="D119" s="82"/>
      <c r="E119" s="82"/>
    </row>
    <row r="120" spans="1:5">
      <c r="A120" s="75"/>
      <c r="B120" s="82"/>
      <c r="C120" s="173" t="s">
        <v>71</v>
      </c>
      <c r="D120" s="173"/>
      <c r="E120" s="173"/>
    </row>
    <row r="121" spans="1:5" ht="26.25" customHeight="1">
      <c r="A121" s="75"/>
      <c r="B121" s="82" t="s">
        <v>72</v>
      </c>
      <c r="C121" s="82" t="s">
        <v>73</v>
      </c>
      <c r="D121" s="82"/>
      <c r="E121" s="82"/>
    </row>
    <row r="122" spans="1:5">
      <c r="A122" s="75"/>
      <c r="B122" s="82" t="s">
        <v>74</v>
      </c>
      <c r="C122" s="173" t="s">
        <v>75</v>
      </c>
      <c r="D122" s="173"/>
      <c r="E122" s="173"/>
    </row>
    <row r="123" spans="1:5" ht="26.25" customHeight="1">
      <c r="A123" s="75"/>
      <c r="B123" s="82" t="s">
        <v>76</v>
      </c>
      <c r="C123" s="82" t="s">
        <v>77</v>
      </c>
      <c r="D123" s="82"/>
      <c r="E123" s="82"/>
    </row>
    <row r="124" spans="1:5" ht="47.25" customHeight="1">
      <c r="A124" s="75"/>
      <c r="B124" s="82" t="s">
        <v>78</v>
      </c>
      <c r="C124" s="173" t="s">
        <v>79</v>
      </c>
      <c r="D124" s="173"/>
      <c r="E124" s="173"/>
    </row>
    <row r="125" spans="1:5" ht="27.6">
      <c r="A125" s="75"/>
      <c r="B125" s="82" t="s">
        <v>80</v>
      </c>
      <c r="C125" s="173" t="s">
        <v>81</v>
      </c>
      <c r="D125" s="173"/>
      <c r="E125" s="173"/>
    </row>
    <row r="126" spans="1:5" ht="26.25" customHeight="1">
      <c r="A126" s="75"/>
      <c r="B126" s="82" t="s">
        <v>82</v>
      </c>
      <c r="C126" s="82" t="s">
        <v>83</v>
      </c>
      <c r="D126" s="82"/>
      <c r="E126" s="82"/>
    </row>
    <row r="127" spans="1:5" ht="26.25" customHeight="1">
      <c r="A127" s="75"/>
      <c r="B127" s="82" t="s">
        <v>84</v>
      </c>
      <c r="C127" s="82" t="s">
        <v>85</v>
      </c>
      <c r="D127" s="82"/>
      <c r="E127" s="82"/>
    </row>
    <row r="128" spans="1:5" ht="30.75" customHeight="1">
      <c r="A128" s="75"/>
      <c r="B128" s="82" t="s">
        <v>86</v>
      </c>
      <c r="C128" s="173" t="s">
        <v>87</v>
      </c>
      <c r="D128" s="173"/>
      <c r="E128" s="173"/>
    </row>
    <row r="129" spans="1:5" ht="32.25" customHeight="1">
      <c r="A129" s="75"/>
      <c r="B129" s="82" t="s">
        <v>88</v>
      </c>
      <c r="C129" s="173" t="s">
        <v>89</v>
      </c>
      <c r="D129" s="173"/>
      <c r="E129" s="173"/>
    </row>
    <row r="130" spans="1:5" ht="31.5" customHeight="1">
      <c r="A130" s="75"/>
      <c r="B130" s="82" t="s">
        <v>90</v>
      </c>
      <c r="C130" s="173" t="s">
        <v>91</v>
      </c>
      <c r="D130" s="173"/>
      <c r="E130" s="173"/>
    </row>
    <row r="131" spans="1:5" ht="30" customHeight="1">
      <c r="A131" s="75"/>
      <c r="B131" s="82" t="s">
        <v>92</v>
      </c>
      <c r="C131" s="173" t="s">
        <v>93</v>
      </c>
      <c r="D131" s="173"/>
      <c r="E131" s="173"/>
    </row>
    <row r="132" spans="1:5" ht="27.6">
      <c r="A132" s="75"/>
      <c r="B132" s="82" t="s">
        <v>94</v>
      </c>
      <c r="C132" s="173" t="s">
        <v>95</v>
      </c>
      <c r="D132" s="173"/>
      <c r="E132" s="173"/>
    </row>
    <row r="133" spans="1:5" ht="27.6">
      <c r="A133" s="75"/>
      <c r="B133" s="82" t="s">
        <v>96</v>
      </c>
      <c r="C133" s="173" t="s">
        <v>97</v>
      </c>
      <c r="D133" s="173"/>
      <c r="E133" s="173"/>
    </row>
    <row r="134" spans="1:5" ht="41.45">
      <c r="A134" s="75"/>
      <c r="B134" s="82" t="s">
        <v>98</v>
      </c>
      <c r="C134" s="82" t="s">
        <v>99</v>
      </c>
      <c r="D134" s="82"/>
      <c r="E134" s="82"/>
    </row>
    <row r="135" spans="1:5" ht="26.25" customHeight="1">
      <c r="A135" s="75"/>
      <c r="B135" s="82"/>
      <c r="C135" s="82"/>
      <c r="D135" s="82"/>
      <c r="E135" s="82"/>
    </row>
    <row r="136" spans="1:5" ht="26.25" customHeight="1">
      <c r="A136" s="75"/>
      <c r="B136" s="82"/>
      <c r="C136" s="82"/>
      <c r="D136" s="82"/>
      <c r="E136" s="82"/>
    </row>
    <row r="137" spans="1:5" ht="26.25" customHeight="1">
      <c r="A137" s="75"/>
      <c r="B137" s="82"/>
      <c r="C137" s="82"/>
      <c r="D137" s="82"/>
      <c r="E137" s="82"/>
    </row>
    <row r="138" spans="1:5" ht="26.25" customHeight="1">
      <c r="A138" s="75"/>
      <c r="B138" s="82"/>
      <c r="C138" s="82"/>
      <c r="D138" s="82"/>
      <c r="E138" s="82"/>
    </row>
    <row r="139" spans="1:5" ht="26.25" customHeight="1">
      <c r="A139" s="75"/>
      <c r="B139" s="82"/>
      <c r="C139" s="82"/>
      <c r="D139" s="82"/>
      <c r="E139" s="82"/>
    </row>
    <row r="140" spans="1:5">
      <c r="A140" s="75"/>
      <c r="B140" s="78"/>
      <c r="C140" s="78"/>
      <c r="D140" s="78"/>
      <c r="E140" s="78"/>
    </row>
    <row r="141" spans="1:5">
      <c r="A141" s="75"/>
      <c r="B141" s="171" t="s">
        <v>100</v>
      </c>
      <c r="C141" s="171"/>
      <c r="D141" s="75"/>
      <c r="E141" s="75"/>
    </row>
    <row r="142" spans="1:5" ht="45" customHeight="1">
      <c r="A142" s="75"/>
      <c r="B142" s="167" t="s">
        <v>101</v>
      </c>
      <c r="C142" s="167"/>
      <c r="D142" s="167"/>
      <c r="E142" s="167"/>
    </row>
    <row r="143" spans="1:5" ht="26.25" customHeight="1">
      <c r="A143" s="75"/>
      <c r="B143" s="168" t="s">
        <v>102</v>
      </c>
      <c r="C143" s="168"/>
      <c r="D143" s="168"/>
      <c r="E143" s="168"/>
    </row>
    <row r="144" spans="1:5" ht="25.5" customHeight="1">
      <c r="A144" s="75"/>
      <c r="B144" s="167" t="s">
        <v>103</v>
      </c>
      <c r="C144" s="167"/>
      <c r="D144" s="167"/>
      <c r="E144" s="167"/>
    </row>
    <row r="145" spans="1:5" ht="50.25" customHeight="1">
      <c r="A145" s="75"/>
      <c r="B145" s="175" t="s">
        <v>104</v>
      </c>
      <c r="C145" s="167"/>
      <c r="D145" s="167"/>
      <c r="E145" s="167"/>
    </row>
    <row r="146" spans="1:5" ht="54.75" customHeight="1">
      <c r="A146" s="75"/>
      <c r="B146" s="175" t="s">
        <v>105</v>
      </c>
      <c r="C146" s="167"/>
      <c r="D146" s="167"/>
      <c r="E146" s="167"/>
    </row>
    <row r="147" spans="1:5" ht="72" customHeight="1">
      <c r="A147" s="75"/>
      <c r="B147" s="169" t="s">
        <v>106</v>
      </c>
      <c r="C147" s="169"/>
      <c r="D147" s="169"/>
      <c r="E147" s="169"/>
    </row>
    <row r="148" spans="1:5">
      <c r="A148" s="75"/>
      <c r="B148" s="167" t="s">
        <v>107</v>
      </c>
      <c r="C148" s="167"/>
      <c r="D148" s="167"/>
      <c r="E148" s="167"/>
    </row>
    <row r="149" spans="1:5">
      <c r="A149" s="75"/>
      <c r="B149" s="170" t="s">
        <v>108</v>
      </c>
      <c r="C149" s="170"/>
      <c r="D149" s="170"/>
      <c r="E149" s="170"/>
    </row>
    <row r="150" spans="1:5">
      <c r="A150" s="75"/>
      <c r="B150" s="92"/>
      <c r="C150" s="92"/>
      <c r="D150" s="92"/>
      <c r="E150" s="92"/>
    </row>
    <row r="151" spans="1:5" ht="60" customHeight="1">
      <c r="A151" s="75"/>
      <c r="B151" s="175" t="s">
        <v>109</v>
      </c>
      <c r="C151" s="175"/>
      <c r="D151" s="175"/>
      <c r="E151" s="175"/>
    </row>
    <row r="152" spans="1:5" ht="24" customHeight="1">
      <c r="A152" s="75"/>
      <c r="B152" s="77"/>
      <c r="C152" s="77"/>
      <c r="D152" s="77"/>
      <c r="E152" s="77"/>
    </row>
    <row r="153" spans="1:5">
      <c r="B153" s="171" t="s">
        <v>110</v>
      </c>
      <c r="C153" s="171"/>
      <c r="D153" s="75"/>
      <c r="E153" s="75"/>
    </row>
    <row r="154" spans="1:5">
      <c r="B154" s="172" t="s">
        <v>111</v>
      </c>
      <c r="C154" s="172"/>
      <c r="D154" s="172"/>
      <c r="E154" s="172"/>
    </row>
    <row r="155" spans="1:5">
      <c r="B155" s="93"/>
      <c r="C155" s="93"/>
      <c r="D155" s="93"/>
      <c r="E155" s="93"/>
    </row>
    <row r="156" spans="1:5">
      <c r="B156" s="171" t="s">
        <v>112</v>
      </c>
      <c r="C156" s="171"/>
      <c r="D156" s="75"/>
      <c r="E156" s="75"/>
    </row>
    <row r="157" spans="1:5" ht="26.25" customHeight="1">
      <c r="B157" s="167" t="s">
        <v>113</v>
      </c>
      <c r="C157" s="167"/>
      <c r="D157" s="167"/>
      <c r="E157" s="167"/>
    </row>
    <row r="158" spans="1:5" ht="26.25" customHeight="1">
      <c r="B158" s="168" t="s">
        <v>114</v>
      </c>
      <c r="C158" s="168"/>
      <c r="D158" s="168"/>
      <c r="E158" s="168"/>
    </row>
    <row r="159" spans="1:5">
      <c r="B159" s="94"/>
      <c r="C159" s="94"/>
      <c r="D159" s="94"/>
      <c r="E159" s="94"/>
    </row>
    <row r="160" spans="1:5">
      <c r="B160" s="95"/>
      <c r="C160" s="95"/>
      <c r="D160" s="95"/>
      <c r="E160" s="95"/>
    </row>
  </sheetData>
  <mergeCells count="59">
    <mergeCell ref="C130:E130"/>
    <mergeCell ref="C131:E131"/>
    <mergeCell ref="C132:E132"/>
    <mergeCell ref="C133:E133"/>
    <mergeCell ref="C122:E122"/>
    <mergeCell ref="C124:E124"/>
    <mergeCell ref="C125:E125"/>
    <mergeCell ref="C128:E128"/>
    <mergeCell ref="C129:E129"/>
    <mergeCell ref="C55:E55"/>
    <mergeCell ref="C115:E115"/>
    <mergeCell ref="C116:E116"/>
    <mergeCell ref="C117:E117"/>
    <mergeCell ref="C120:E120"/>
    <mergeCell ref="B8:E8"/>
    <mergeCell ref="B145:E145"/>
    <mergeCell ref="B146:E146"/>
    <mergeCell ref="B151:E151"/>
    <mergeCell ref="B1:B2"/>
    <mergeCell ref="D1:E2"/>
    <mergeCell ref="B5:E5"/>
    <mergeCell ref="B6:E6"/>
    <mergeCell ref="B7:E7"/>
    <mergeCell ref="B43:E43"/>
    <mergeCell ref="B11:E11"/>
    <mergeCell ref="B14:E14"/>
    <mergeCell ref="B15:E15"/>
    <mergeCell ref="B16:E16"/>
    <mergeCell ref="C17:E17"/>
    <mergeCell ref="B30:E31"/>
    <mergeCell ref="C32:E32"/>
    <mergeCell ref="B33:E33"/>
    <mergeCell ref="B34:E34"/>
    <mergeCell ref="B36:E36"/>
    <mergeCell ref="B42:E42"/>
    <mergeCell ref="C44:E44"/>
    <mergeCell ref="C45:E45"/>
    <mergeCell ref="C47:E47"/>
    <mergeCell ref="C48:E48"/>
    <mergeCell ref="B156:C156"/>
    <mergeCell ref="B143:E143"/>
    <mergeCell ref="C46:D46"/>
    <mergeCell ref="B119:C119"/>
    <mergeCell ref="B141:C141"/>
    <mergeCell ref="B142:E142"/>
    <mergeCell ref="C49:E49"/>
    <mergeCell ref="C50:E50"/>
    <mergeCell ref="C51:E51"/>
    <mergeCell ref="C52:E52"/>
    <mergeCell ref="C53:E53"/>
    <mergeCell ref="C54:E54"/>
    <mergeCell ref="B157:E157"/>
    <mergeCell ref="B158:E158"/>
    <mergeCell ref="B144:E144"/>
    <mergeCell ref="B147:E147"/>
    <mergeCell ref="B148:E148"/>
    <mergeCell ref="B149:E149"/>
    <mergeCell ref="B153:C153"/>
    <mergeCell ref="B154:E1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D64"/>
  <sheetViews>
    <sheetView tabSelected="1" topLeftCell="BJ1" zoomScale="110" zoomScaleNormal="110" workbookViewId="0">
      <pane ySplit="1" topLeftCell="D11" activePane="bottomLeft" state="frozen"/>
      <selection pane="bottomLeft" activeCell="G12" sqref="G12"/>
    </sheetView>
  </sheetViews>
  <sheetFormatPr defaultColWidth="11.42578125" defaultRowHeight="14.45"/>
  <cols>
    <col min="1" max="1" width="6" style="9" customWidth="1"/>
    <col min="2" max="2" width="15.7109375" style="10" customWidth="1"/>
    <col min="3" max="3" width="18.42578125" style="9" customWidth="1"/>
    <col min="4" max="4" width="21.140625" style="9" customWidth="1"/>
    <col min="5" max="5" width="15.7109375" style="11" customWidth="1"/>
    <col min="6" max="6" width="27.28515625" style="9" customWidth="1"/>
    <col min="7" max="7" width="42" style="12" customWidth="1"/>
    <col min="8" max="8" width="20.85546875" style="13" customWidth="1"/>
    <col min="9" max="9" width="58" style="148" customWidth="1"/>
    <col min="10" max="10" width="12.140625" style="9" customWidth="1"/>
    <col min="11" max="11" width="10.7109375" style="9" customWidth="1"/>
    <col min="12" max="12" width="10" style="7" customWidth="1"/>
    <col min="13" max="13" width="17" style="7" customWidth="1"/>
    <col min="14" max="15" width="29" style="9" customWidth="1"/>
    <col min="16" max="16" width="26" style="117" customWidth="1"/>
    <col min="17" max="19" width="29" customWidth="1"/>
    <col min="20" max="20" width="49.7109375" style="99" customWidth="1"/>
    <col min="21" max="21" width="29" customWidth="1"/>
    <col min="22" max="22" width="23.42578125" customWidth="1"/>
    <col min="23" max="23" width="29" customWidth="1"/>
    <col min="24" max="24" width="42.28515625" customWidth="1"/>
    <col min="25" max="26" width="29" customWidth="1"/>
    <col min="27" max="27" width="29" style="9" customWidth="1"/>
    <col min="28" max="28" width="36.7109375" style="9" customWidth="1"/>
    <col min="29" max="33" width="29" style="9" customWidth="1"/>
    <col min="34" max="34" width="20.85546875" style="9" customWidth="1"/>
    <col min="35" max="36" width="10" style="9" customWidth="1"/>
    <col min="37" max="37" width="10" customWidth="1"/>
    <col min="38" max="38" width="16.28515625" style="9" customWidth="1"/>
    <col min="39" max="39" width="19.28515625" customWidth="1"/>
    <col min="40" max="40" width="44.140625" style="9" customWidth="1"/>
    <col min="41" max="41" width="21.85546875" customWidth="1"/>
    <col min="42" max="42" width="48" style="9" customWidth="1"/>
    <col min="43" max="43" width="14" customWidth="1"/>
    <col min="44" max="44" width="17.7109375" style="9" customWidth="1"/>
    <col min="45" max="45" width="22.140625" style="10" customWidth="1"/>
    <col min="46" max="47" width="11.85546875" style="9" customWidth="1"/>
    <col min="48" max="48" width="15.42578125" style="7" customWidth="1"/>
    <col min="49" max="49" width="15" style="7" customWidth="1"/>
    <col min="50" max="50" width="13.5703125" style="69" customWidth="1"/>
    <col min="51" max="67" width="13.5703125" style="70" customWidth="1"/>
    <col min="68" max="68" width="13.5703125" style="71" customWidth="1"/>
    <col min="69" max="69" width="13.5703125" style="70" customWidth="1"/>
    <col min="70" max="70" width="29.5703125" style="13" customWidth="1"/>
    <col min="71" max="71" width="11.85546875" style="9" customWidth="1"/>
    <col min="72" max="72" width="15.42578125" style="9" customWidth="1"/>
    <col min="73" max="73" width="15" style="14" customWidth="1"/>
    <col min="74" max="74" width="11.85546875" style="15" customWidth="1"/>
    <col min="75" max="75" width="15.42578125" style="12" customWidth="1"/>
    <col min="76" max="76" width="15" style="9" customWidth="1"/>
    <col min="77" max="16384" width="11.42578125" style="9"/>
  </cols>
  <sheetData>
    <row r="1" spans="1:75" s="16" customFormat="1" ht="36">
      <c r="A1" s="53" t="s">
        <v>115</v>
      </c>
      <c r="B1" s="54" t="s">
        <v>116</v>
      </c>
      <c r="C1" s="54" t="s">
        <v>117</v>
      </c>
      <c r="D1" s="54" t="s">
        <v>118</v>
      </c>
      <c r="E1" s="54" t="s">
        <v>119</v>
      </c>
      <c r="F1" s="54" t="s">
        <v>120</v>
      </c>
      <c r="G1" s="54" t="s">
        <v>121</v>
      </c>
      <c r="H1" s="54" t="s">
        <v>122</v>
      </c>
      <c r="I1" s="54" t="s">
        <v>123</v>
      </c>
      <c r="J1" s="54" t="s">
        <v>124</v>
      </c>
      <c r="K1" s="54" t="s">
        <v>125</v>
      </c>
      <c r="L1" s="54" t="s">
        <v>126</v>
      </c>
      <c r="M1" s="54" t="s">
        <v>127</v>
      </c>
      <c r="N1" s="54" t="s">
        <v>128</v>
      </c>
      <c r="O1" s="54" t="s">
        <v>129</v>
      </c>
      <c r="P1" s="54" t="s">
        <v>130</v>
      </c>
      <c r="Q1" s="54" t="s">
        <v>131</v>
      </c>
      <c r="R1" s="54" t="s">
        <v>132</v>
      </c>
      <c r="S1" s="54" t="s">
        <v>133</v>
      </c>
      <c r="T1" s="54" t="s">
        <v>134</v>
      </c>
      <c r="U1" s="54" t="s">
        <v>135</v>
      </c>
      <c r="V1" s="54" t="s">
        <v>136</v>
      </c>
      <c r="W1" s="54" t="s">
        <v>137</v>
      </c>
      <c r="X1" s="54" t="s">
        <v>138</v>
      </c>
      <c r="Y1" s="54" t="s">
        <v>139</v>
      </c>
      <c r="Z1" s="54" t="s">
        <v>140</v>
      </c>
      <c r="AA1" s="54" t="s">
        <v>141</v>
      </c>
      <c r="AB1" s="54" t="s">
        <v>142</v>
      </c>
      <c r="AC1" s="54" t="s">
        <v>143</v>
      </c>
      <c r="AD1" s="54" t="s">
        <v>144</v>
      </c>
      <c r="AE1" s="54" t="s">
        <v>145</v>
      </c>
      <c r="AF1" s="54" t="s">
        <v>146</v>
      </c>
      <c r="AG1" s="54" t="s">
        <v>147</v>
      </c>
      <c r="AH1" s="54" t="s">
        <v>148</v>
      </c>
      <c r="AI1" s="54" t="s">
        <v>149</v>
      </c>
      <c r="AJ1" s="54" t="s">
        <v>150</v>
      </c>
      <c r="AK1" s="54" t="s">
        <v>151</v>
      </c>
      <c r="AL1" s="54" t="s">
        <v>152</v>
      </c>
      <c r="AM1" s="54" t="s">
        <v>153</v>
      </c>
      <c r="AN1" s="54" t="s">
        <v>154</v>
      </c>
      <c r="AO1" s="54" t="s">
        <v>155</v>
      </c>
      <c r="AP1" s="73" t="s">
        <v>156</v>
      </c>
      <c r="AQ1" s="73" t="s">
        <v>157</v>
      </c>
      <c r="AR1" s="73" t="s">
        <v>158</v>
      </c>
      <c r="AS1" s="73" t="s">
        <v>159</v>
      </c>
      <c r="AT1" s="74" t="s">
        <v>160</v>
      </c>
      <c r="AU1" s="74" t="s">
        <v>161</v>
      </c>
      <c r="AV1" s="73" t="s">
        <v>162</v>
      </c>
      <c r="AW1" s="73" t="s">
        <v>163</v>
      </c>
      <c r="AX1" s="72" t="s">
        <v>164</v>
      </c>
      <c r="AY1" s="72" t="s">
        <v>165</v>
      </c>
      <c r="AZ1" s="72" t="s">
        <v>166</v>
      </c>
      <c r="BA1" s="72" t="s">
        <v>167</v>
      </c>
      <c r="BB1" s="72" t="s">
        <v>168</v>
      </c>
      <c r="BC1" s="72" t="s">
        <v>169</v>
      </c>
      <c r="BD1" s="72" t="s">
        <v>170</v>
      </c>
      <c r="BE1" s="72" t="s">
        <v>171</v>
      </c>
      <c r="BF1" s="72" t="s">
        <v>172</v>
      </c>
      <c r="BG1" s="72" t="s">
        <v>173</v>
      </c>
      <c r="BH1" s="72" t="s">
        <v>174</v>
      </c>
      <c r="BI1" s="72" t="s">
        <v>175</v>
      </c>
      <c r="BJ1" s="72" t="s">
        <v>176</v>
      </c>
      <c r="BK1" s="72" t="s">
        <v>177</v>
      </c>
      <c r="BL1" s="72" t="s">
        <v>178</v>
      </c>
      <c r="BM1" s="72" t="s">
        <v>179</v>
      </c>
      <c r="BN1" s="72" t="s">
        <v>180</v>
      </c>
      <c r="BO1" s="72" t="s">
        <v>181</v>
      </c>
      <c r="BP1" s="72" t="s">
        <v>182</v>
      </c>
      <c r="BQ1" s="72" t="s">
        <v>183</v>
      </c>
      <c r="BR1" s="120" t="s">
        <v>184</v>
      </c>
      <c r="BS1" s="120" t="inlineStr">
        <is>
          <t>Estado del Riesgo</t>
        </is>
      </c>
      <c r="BT1" s="120" t="inlineStr">
        <is>
          <t>Estado del Control Preventivo</t>
        </is>
      </c>
      <c r="BU1" s="120" t="inlineStr">
        <is>
          <t>Evaluación de la Efectividad del Control Preventivo</t>
        </is>
      </c>
      <c r="BV1" s="120" t="inlineStr">
        <is>
          <t>Evidencia(s) del Control Preventivo</t>
        </is>
      </c>
      <c r="BW1" s="120" t="inlineStr">
        <is>
          <t>Estado del Control Detectivo</t>
        </is>
      </c>
      <c r="BX1" s="120" t="inlineStr">
        <is>
          <t>Evaluación de la Efectividad del Control Detectivo</t>
        </is>
      </c>
      <c r="BY1" s="120" t="inlineStr">
        <is>
          <t>Evidencia(s) del Control Detectivo</t>
        </is>
      </c>
      <c r="BZ1" s="120" t="inlineStr">
        <is>
          <t>Estado del Control Correctivo</t>
        </is>
      </c>
      <c r="CA1" s="120" t="inlineStr">
        <is>
          <t>Evaluación de la Efectividad del Control Correctivo</t>
        </is>
      </c>
      <c r="CB1" s="120" t="inlineStr">
        <is>
          <t>Evidencia(s) del Control Correctivo</t>
        </is>
      </c>
      <c r="CC1" s="120" t="inlineStr">
        <is>
          <t>Observaciones del Área</t>
        </is>
      </c>
      <c r="CD1" s="120" t="inlineStr">
        <is>
          <t>Observaciones UGR</t>
        </is>
      </c>
    </row>
    <row r="2" spans="1:75" s="165" customFormat="1" ht="384">
      <c r="A2" s="150">
        <v>1</v>
      </c>
      <c r="B2" s="151" vm="1" t="inlineStr">
        <is>
          <t>ROTR-AFIL-1</t>
        </is>
      </c>
      <c r="C2" s="152" t="s">
        <v>185</v>
      </c>
      <c r="D2" s="153"/>
      <c r="E2" s="153" t="s">
        <v>186</v>
      </c>
      <c r="F2" s="152" t="s">
        <v>185</v>
      </c>
      <c r="G2" s="154"/>
      <c r="H2" s="152" t="s">
        <v>187</v>
      </c>
      <c r="I2" s="155" t="s">
        <v>188</v>
      </c>
      <c r="J2" s="153">
        <v>3</v>
      </c>
      <c r="K2" s="153">
        <v>5</v>
      </c>
      <c r="L2" s="151">
        <f>IF((Matriz_Riesgos[[#This Row],[Frecuencia]]+Matriz_Riesgos[[#This Row],[Impacto]]-1)=-1,"",Matriz_Riesgos[[#This Row],[Frecuencia]]+Matriz_Riesgos[[#This Row],[Impacto]]-1)</f>
        <v>7</v>
      </c>
      <c r="M2" s="151" t="str">
        <f>IFERROR(VLOOKUP(Matriz_Riesgos[[#This Row],[Valor del Riesgo Inherente]],t_nivel_riesgo[],2,FALSE), "")</f>
        <v>Riesgo Alto</v>
      </c>
      <c r="N2" s="152" t="s">
        <v>189</v>
      </c>
      <c r="O2" s="153" t="s">
        <v>190</v>
      </c>
      <c r="P2" s="152" t="s">
        <v>191</v>
      </c>
      <c r="Q2" s="156"/>
      <c r="R2" s="156"/>
      <c r="S2" s="156"/>
      <c r="T2" s="157" t="s">
        <v>192</v>
      </c>
      <c r="U2" s="158" t="s">
        <v>193</v>
      </c>
      <c r="V2" s="151">
        <f>IFERROR(VLOOKUP(Matriz_Riesgos[[#This Row],[Escala de efectividad de control(es) preventivo(s)]],t_efectividad[],2,FALSE),"")</f>
        <v>5</v>
      </c>
      <c r="W2" s="159">
        <f>IFERROR(VLOOKUP(Matriz_Riesgos[[#This Row],[Escala de efectividad de control(es) preventivo(s)]],t_efectividad[],3,FALSE),"")</f>
        <v>0.9</v>
      </c>
      <c r="X2" s="157" t="s">
        <v>194</v>
      </c>
      <c r="Y2" s="158" t="s">
        <v>193</v>
      </c>
      <c r="Z2" s="151">
        <f>IFERROR(VLOOKUP(Matriz_Riesgos[[#This Row],[Escala de efectividad de control(es) detectivo(s)]],t_efectividad[],2,FALSE),"")</f>
        <v>5</v>
      </c>
      <c r="AA2" s="160">
        <f>IFERROR(VLOOKUP(Matriz_Riesgos[[#This Row],[Escala de efectividad de control(es) detectivo(s)]],t_efectividad[],3,FALSE),"")</f>
        <v>0.9</v>
      </c>
      <c r="AB2" s="157" t="s">
        <v>195</v>
      </c>
      <c r="AC2" s="158" t="s">
        <v>193</v>
      </c>
      <c r="AD2" s="151">
        <f>IFERROR(VLOOKUP(Matriz_Riesgos[[#This Row],[Escala de efectividad de control(es) correctivo(s)]],t_efectividad[],2,FALSE),"")</f>
        <v>5</v>
      </c>
      <c r="AE2" s="159">
        <f>IFERROR(VLOOKUP(Matriz_Riesgos[[#This Row],[Escala de efectividad de control(es) correctivo(s)]],t_efectividad[],3,FALSE),"")</f>
        <v>0.9</v>
      </c>
      <c r="AF2" s="153" t="s">
        <v>196</v>
      </c>
      <c r="AG2" s="161">
        <f>IF(AND(T2="",X2="",AB2=""),"",('Otras Tablas'!$B$3*IF(W2="",0,W2)+'Otras Tablas'!$B$4*IF(AA2="",0,AA2)+'Otras Tablas'!$B$5*IF(AE2="",0,AE2)))</f>
      </c>
      <c r="AH2" s="162" t="str">
        <f>IF(Matriz_Riesgos[[#This Row],[Riesgo Inherente]]="","",Matriz_Riesgos[[#This Row],[Riesgo Inherente]])</f>
        <v>Creación y activación de registros en el sistema correspondientes a identidades falsas, suplantadas o personas que no cumplen criterios normativos, contractuales o internos para su afiliacion.</v>
      </c>
      <c r="AI2" s="151">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1</v>
      </c>
      <c r="AJ2" s="151">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1</v>
      </c>
      <c r="AK2" s="151">
        <f>IFERROR(ROUND(MAX(1,Matriz_Riesgos[[#This Row],[Valor del Riesgo Inherente]]*(1 - Matriz_Riesgos[[#This Row],[Efectividad Total Ponderada de los Controles]])),0), "")</f>
        <v>1</v>
      </c>
      <c r="AL2" s="151" t="str">
        <f>IFERROR(VLOOKUP(Matriz_Riesgos[[#This Row],[Valor del Riesgo Residual]],t_nivel_riesgo[],2,FALSE),"")</f>
        <v>Riesgo no significativo</v>
      </c>
      <c r="AM2" s="153" t="s">
        <v>197</v>
      </c>
      <c r="AN2" s="154" t="s">
        <v>198</v>
      </c>
      <c r="AO2" s="152">
        <v>8</v>
      </c>
      <c r="AP2" s="157" t="s">
        <v>199</v>
      </c>
      <c r="AQ2" s="152">
        <v>21</v>
      </c>
      <c r="AR2" s="157" t="s">
        <v>200</v>
      </c>
      <c r="AS2" s="157" t="s">
        <v>201</v>
      </c>
      <c r="AT2" s="152"/>
      <c r="AU2" s="152"/>
      <c r="AV2" s="152"/>
      <c r="AW2" s="152"/>
      <c r="AX2" s="163">
        <f>IFERROR((1-Matriz_Riesgos[[#This Row],[Efectividad Total Ponderada de los Controles]])*Matriz_Riesgos[[#This Row],[Frecuencia]],"")</f>
        <v>0.29999999999999993</v>
      </c>
      <c r="AY2" s="163">
        <f>IFERROR((1-Matriz_Riesgos[[#This Row],[Efectividad Total Ponderada de los Controles]])*Matriz_Riesgos[[#This Row],[Impacto]],"")</f>
        <v>0.49999999999999989</v>
      </c>
      <c r="AZ2" s="163">
        <f>IFERROR(Matriz_Riesgos[[#This Row],[Valor del Riesgo Residual]] + 1, "")</f>
        <v>2</v>
      </c>
      <c r="BA2" s="163">
        <f>IFERROR(MAX(1, ROUNDDOWN(Matriz_Riesgos[[#This Row],[Frecuencia Residual (AUX)]],0)),"")</f>
        <v>1</v>
      </c>
      <c r="BB2" s="163">
        <f>IFERROR(MAX(1, ROUNDDOWN(Matriz_Riesgos[[#This Row],[Impacto Residual (AUX)]],0)),"")</f>
        <v>1</v>
      </c>
      <c r="BC2" s="163">
        <f>IF(Matriz_Riesgos[[#This Row],[Frecuencia]]="","",Matriz_Riesgos[[#This Row],[Frecuencia]])</f>
        <v>3</v>
      </c>
      <c r="BD2" s="163">
        <f>IF(Matriz_Riesgos[[#This Row],[Impacto]]="","",Matriz_Riesgos[[#This Row],[Impacto]])</f>
        <v>5</v>
      </c>
      <c r="BE2" s="163">
        <f>IF(OR(Matriz_Riesgos[[#This Row],[Tope F (AUX)]]="",Matriz_Riesgos[[#This Row],[F_base (AUX)]]=""),"",MAX(0,Matriz_Riesgos[[#This Row],[Tope F (AUX)]]-Matriz_Riesgos[[#This Row],[F_base (AUX)]]))</f>
        <v>2</v>
      </c>
      <c r="BF2" s="163">
        <f>IF(OR(Matriz_Riesgos[[#This Row],[Tope I (AUX)]]="",Matriz_Riesgos[[#This Row],[I_base (AUX)]]=""),"",MAX(0,Matriz_Riesgos[[#This Row],[Tope I (AUX)]]-Matriz_Riesgos[[#This Row],[I_base (AUX)]]))</f>
        <v>4</v>
      </c>
      <c r="BG2" s="163">
        <f>IF(OR(Matriz_Riesgos[[#This Row],[Suma Residual redondeada (AUX)]]="",Matriz_Riesgos[[#This Row],[F_base (AUX)]]="",Matriz_Riesgos[[#This Row],[I_base (AUX)]]=""),"",MAX(0,Matriz_Riesgos[[#This Row],[Suma Residual redondeada (AUX)]]-(Matriz_Riesgos[[#This Row],[F_base (AUX)]]+Matriz_Riesgos[[#This Row],[I_base (AUX)]])))</f>
        <v>0</v>
      </c>
      <c r="BH2" s="163">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2" s="163">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2" s="163">
        <f>IF(OR(Matriz_Riesgos[[#This Row],[Resto (AUX)]]="",Matriz_Riesgos[[#This Row],[Capacidad F (AUX)]]="",Matriz_Riesgos[[#This Row],[Inc_I (AUX)]]=""),"",MIN(Matriz_Riesgos[[#This Row],[Capacidad F (AUX)]], MAX(0,Matriz_Riesgos[[#This Row],[Resto (AUX)]]-Matriz_Riesgos[[#This Row],[Inc_I (AUX)]])))</f>
        <v>0</v>
      </c>
      <c r="BK2" s="163">
        <f>IFERROR(MAX(ROUND(Matriz_Riesgos[[#This Row],[Frecuencia Residual (AUX)]]+Matriz_Riesgos[[#This Row],[Impacto Residual (AUX)]]-1+Matriz_Riesgos[[#This Row],[Efectividad Total Ponderada de los Controles]],0),1),"")</f>
        <v>1</v>
      </c>
      <c r="BL2" s="163">
        <f>IFERROR(Matriz_Riesgos[[#This Row],[Valor del Riesgo Residual]]-Matriz_Riesgos[[#This Row],[Valor del Riesgo Residual (AUX)]],"")</f>
        <v>0</v>
      </c>
      <c r="BM2" s="163">
        <f>IFERROR(Matriz_Riesgos[[#This Row],[Frecuencia Residual]]+Matriz_Riesgos[[#This Row],[Impacto Residual]]-1,"")</f>
        <v>1</v>
      </c>
      <c r="BN2" s="163">
        <f>IFERROR(Matriz_Riesgos[[#This Row],[Valor del Riesgo Residual]]-Matriz_Riesgos[[#This Row],[VRR 2]],"")</f>
        <v>0</v>
      </c>
      <c r="BO2" s="163">
        <f>IFERROR(Matriz_Riesgos[[#This Row],[Frecuencia]]-Matriz_Riesgos[[#This Row],[Frecuencia Residual]],"")</f>
        <v>2</v>
      </c>
      <c r="BP2" s="163">
        <f>IFERROR(Matriz_Riesgos[[#This Row],[Impacto]]-Matriz_Riesgos[[#This Row],[Impacto Residual]],"")</f>
        <v>4</v>
      </c>
      <c r="BQ2" s="163">
        <f>IFERROR(Matriz_Riesgos[[#This Row],[Valor del Riesgo Inherente]]-Matriz_Riesgos[[#This Row],[Valor del Riesgo Residual]],"")</f>
        <v>6</v>
      </c>
      <c r="BR2" s="164" t="s">
        <v>202</v>
      </c>
      <c r="BS2" s="164"/>
      <c r="BT2" s="164"/>
      <c r="BU2" s="164"/>
      <c r="BV2" s="164"/>
      <c r="BW2" s="164"/>
      <c r="BX2" s="164"/>
      <c r="BY2" s="164"/>
      <c r="BZ2" s="164"/>
      <c r="CA2" s="164"/>
      <c r="CB2" s="164"/>
      <c r="CC2" s="164"/>
      <c r="CD2" s="164"/>
    </row>
    <row r="3" spans="1:75" s="165" customFormat="1" ht="228">
      <c r="A3" s="150">
        <v>2</v>
      </c>
      <c r="B3" s="151" vm="1" t="inlineStr">
        <is>
          <t>ROTR-AFIL-2</t>
        </is>
      </c>
      <c r="C3" s="152" t="s">
        <v>185</v>
      </c>
      <c r="D3" s="153"/>
      <c r="E3" s="153" t="s">
        <v>186</v>
      </c>
      <c r="F3" s="152" t="s">
        <v>185</v>
      </c>
      <c r="G3" s="154"/>
      <c r="H3" s="152" t="s">
        <v>203</v>
      </c>
      <c r="I3" s="155" t="s">
        <v>204</v>
      </c>
      <c r="J3" s="153">
        <v>4</v>
      </c>
      <c r="K3" s="153">
        <v>4</v>
      </c>
      <c r="L3" s="151">
        <f>IF((Matriz_Riesgos[[#This Row],[Frecuencia]]+Matriz_Riesgos[[#This Row],[Impacto]]-1)=-1,"",Matriz_Riesgos[[#This Row],[Frecuencia]]+Matriz_Riesgos[[#This Row],[Impacto]]-1)</f>
        <v>7</v>
      </c>
      <c r="M3" s="151" t="str">
        <f>IFERROR(VLOOKUP(Matriz_Riesgos[[#This Row],[Valor del Riesgo Inherente]],t_nivel_riesgo[],2,FALSE), "")</f>
        <v>Riesgo Alto</v>
      </c>
      <c r="N3" s="152" t="s">
        <v>205</v>
      </c>
      <c r="O3" s="153" t="s">
        <v>206</v>
      </c>
      <c r="P3" s="152" t="s">
        <v>207</v>
      </c>
      <c r="Q3" s="156"/>
      <c r="R3" s="156"/>
      <c r="S3" s="156"/>
      <c r="T3" s="157" t="s">
        <v>208</v>
      </c>
      <c r="U3" s="158" t="s">
        <v>193</v>
      </c>
      <c r="V3" s="151">
        <f>IFERROR(VLOOKUP(Matriz_Riesgos[[#This Row],[Escala de efectividad de control(es) preventivo(s)]],t_efectividad[],2,FALSE),"")</f>
        <v>5</v>
      </c>
      <c r="W3" s="159">
        <f>IFERROR(VLOOKUP(Matriz_Riesgos[[#This Row],[Escala de efectividad de control(es) preventivo(s)]],t_efectividad[],3,FALSE),"")</f>
        <v>0.9</v>
      </c>
      <c r="X3" s="157" t="s">
        <v>209</v>
      </c>
      <c r="Y3" s="158" t="s">
        <v>193</v>
      </c>
      <c r="Z3" s="151">
        <f>IFERROR(VLOOKUP(Matriz_Riesgos[[#This Row],[Escala de efectividad de control(es) detectivo(s)]],t_efectividad[],2,FALSE),"")</f>
        <v>5</v>
      </c>
      <c r="AA3" s="160">
        <f>IFERROR(VLOOKUP(Matriz_Riesgos[[#This Row],[Escala de efectividad de control(es) detectivo(s)]],t_efectividad[],3,FALSE),"")</f>
        <v>0.9</v>
      </c>
      <c r="AB3" s="157" t="s">
        <v>210</v>
      </c>
      <c r="AC3" s="158" t="s">
        <v>193</v>
      </c>
      <c r="AD3" s="151">
        <f>IFERROR(VLOOKUP(Matriz_Riesgos[[#This Row],[Escala de efectividad de control(es) correctivo(s)]],t_efectividad[],2,FALSE),"")</f>
        <v>5</v>
      </c>
      <c r="AE3" s="159">
        <f>IFERROR(VLOOKUP(Matriz_Riesgos[[#This Row],[Escala de efectividad de control(es) correctivo(s)]],t_efectividad[],3,FALSE),"")</f>
        <v>0.9</v>
      </c>
      <c r="AF3" s="153" t="s">
        <v>196</v>
      </c>
      <c r="AG3" s="161">
        <f>IF(AND(T3="",X3="",AB3=""),"",('Otras Tablas'!$B$3*IF(W3="",0,W3)+'Otras Tablas'!$B$4*IF(AA3="",0,AA3)+'Otras Tablas'!$B$5*IF(AE3="",0,AE3)))</f>
      </c>
      <c r="AH3" s="162" t="str">
        <f>IF(Matriz_Riesgos[[#This Row],[Riesgo Inherente]]="","",Matriz_Riesgos[[#This Row],[Riesgo Inherente]])</f>
        <v>Emisión de autorización o prestación efectiva de un servicio de salud a una persona que, no figura como afiliado al sistema o tiene afiliacion suspendida</v>
      </c>
      <c r="AI3" s="151">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1</v>
      </c>
      <c r="AJ3" s="151">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1</v>
      </c>
      <c r="AK3" s="151">
        <f>IFERROR(ROUND(MAX(1,Matriz_Riesgos[[#This Row],[Valor del Riesgo Inherente]]*(1 - Matriz_Riesgos[[#This Row],[Efectividad Total Ponderada de los Controles]])),0), "")</f>
        <v>1</v>
      </c>
      <c r="AL3" s="151" t="str">
        <f>IFERROR(VLOOKUP(Matriz_Riesgos[[#This Row],[Valor del Riesgo Residual]],t_nivel_riesgo[],2,FALSE),"")</f>
        <v>Riesgo no significativo</v>
      </c>
      <c r="AM3" s="153" t="s">
        <v>197</v>
      </c>
      <c r="AN3" s="154" t="s">
        <v>211</v>
      </c>
      <c r="AO3" s="152"/>
      <c r="AP3" s="157" t="s">
        <v>212</v>
      </c>
      <c r="AQ3" s="152"/>
      <c r="AR3" s="157"/>
      <c r="AS3" s="157"/>
      <c r="AT3" s="152"/>
      <c r="AU3" s="152"/>
      <c r="AV3" s="152"/>
      <c r="AW3" s="152"/>
      <c r="AX3" s="163">
        <f>IFERROR((1-Matriz_Riesgos[[#This Row],[Efectividad Total Ponderada de los Controles]])*Matriz_Riesgos[[#This Row],[Frecuencia]],"")</f>
        <v>0.39999999999999991</v>
      </c>
      <c r="AY3" s="163">
        <f>IFERROR((1-Matriz_Riesgos[[#This Row],[Efectividad Total Ponderada de los Controles]])*Matriz_Riesgos[[#This Row],[Impacto]],"")</f>
        <v>0.39999999999999991</v>
      </c>
      <c r="AZ3" s="163">
        <f>IFERROR(Matriz_Riesgos[[#This Row],[Valor del Riesgo Residual]] + 1, "")</f>
        <v>2</v>
      </c>
      <c r="BA3" s="163">
        <f>IFERROR(MAX(1, ROUNDDOWN(Matriz_Riesgos[[#This Row],[Frecuencia Residual (AUX)]],0)),"")</f>
        <v>1</v>
      </c>
      <c r="BB3" s="163">
        <f>IFERROR(MAX(1, ROUNDDOWN(Matriz_Riesgos[[#This Row],[Impacto Residual (AUX)]],0)),"")</f>
        <v>1</v>
      </c>
      <c r="BC3" s="163">
        <f>IF(Matriz_Riesgos[[#This Row],[Frecuencia]]="","",Matriz_Riesgos[[#This Row],[Frecuencia]])</f>
        <v>4</v>
      </c>
      <c r="BD3" s="163">
        <f>IF(Matriz_Riesgos[[#This Row],[Impacto]]="","",Matriz_Riesgos[[#This Row],[Impacto]])</f>
        <v>4</v>
      </c>
      <c r="BE3" s="163">
        <f>IF(OR(Matriz_Riesgos[[#This Row],[Tope F (AUX)]]="",Matriz_Riesgos[[#This Row],[F_base (AUX)]]=""),"",MAX(0,Matriz_Riesgos[[#This Row],[Tope F (AUX)]]-Matriz_Riesgos[[#This Row],[F_base (AUX)]]))</f>
        <v>3</v>
      </c>
      <c r="BF3" s="163">
        <f>IF(OR(Matriz_Riesgos[[#This Row],[Tope I (AUX)]]="",Matriz_Riesgos[[#This Row],[I_base (AUX)]]=""),"",MAX(0,Matriz_Riesgos[[#This Row],[Tope I (AUX)]]-Matriz_Riesgos[[#This Row],[I_base (AUX)]]))</f>
        <v>3</v>
      </c>
      <c r="BG3" s="163">
        <f>IF(OR(Matriz_Riesgos[[#This Row],[Suma Residual redondeada (AUX)]]="",Matriz_Riesgos[[#This Row],[F_base (AUX)]]="",Matriz_Riesgos[[#This Row],[I_base (AUX)]]=""),"",MAX(0,Matriz_Riesgos[[#This Row],[Suma Residual redondeada (AUX)]]-(Matriz_Riesgos[[#This Row],[F_base (AUX)]]+Matriz_Riesgos[[#This Row],[I_base (AUX)]])))</f>
        <v>0</v>
      </c>
      <c r="BH3" s="163">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3" s="163">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3" s="163">
        <f>IF(OR(Matriz_Riesgos[[#This Row],[Resto (AUX)]]="",Matriz_Riesgos[[#This Row],[Capacidad F (AUX)]]="",Matriz_Riesgos[[#This Row],[Inc_I (AUX)]]=""),"",MIN(Matriz_Riesgos[[#This Row],[Capacidad F (AUX)]], MAX(0,Matriz_Riesgos[[#This Row],[Resto (AUX)]]-Matriz_Riesgos[[#This Row],[Inc_I (AUX)]])))</f>
        <v>0</v>
      </c>
      <c r="BK3" s="163">
        <f>IFERROR(MAX(ROUND(Matriz_Riesgos[[#This Row],[Frecuencia Residual (AUX)]]+Matriz_Riesgos[[#This Row],[Impacto Residual (AUX)]]-1+Matriz_Riesgos[[#This Row],[Efectividad Total Ponderada de los Controles]],0),1),"")</f>
        <v>1</v>
      </c>
      <c r="BL3" s="163">
        <f>IFERROR(Matriz_Riesgos[[#This Row],[Valor del Riesgo Residual]]-Matriz_Riesgos[[#This Row],[Valor del Riesgo Residual (AUX)]],"")</f>
        <v>0</v>
      </c>
      <c r="BM3" s="163">
        <f>IFERROR(Matriz_Riesgos[[#This Row],[Frecuencia Residual]]+Matriz_Riesgos[[#This Row],[Impacto Residual]]-1,"")</f>
        <v>1</v>
      </c>
      <c r="BN3" s="163">
        <f>IFERROR(Matriz_Riesgos[[#This Row],[Valor del Riesgo Residual]]-Matriz_Riesgos[[#This Row],[VRR 2]],"")</f>
        <v>0</v>
      </c>
      <c r="BO3" s="163">
        <f>IFERROR(Matriz_Riesgos[[#This Row],[Frecuencia]]-Matriz_Riesgos[[#This Row],[Frecuencia Residual]],"")</f>
        <v>3</v>
      </c>
      <c r="BP3" s="163">
        <f>IFERROR(Matriz_Riesgos[[#This Row],[Impacto]]-Matriz_Riesgos[[#This Row],[Impacto Residual]],"")</f>
        <v>3</v>
      </c>
      <c r="BQ3" s="163">
        <f>IFERROR(Matriz_Riesgos[[#This Row],[Valor del Riesgo Inherente]]-Matriz_Riesgos[[#This Row],[Valor del Riesgo Residual]],"")</f>
        <v>6</v>
      </c>
      <c r="BR3" s="164" t="s">
        <v>213</v>
      </c>
      <c r="BS3" s="164"/>
      <c r="BT3" s="164"/>
      <c r="BU3" s="164"/>
      <c r="BV3" s="164"/>
      <c r="BW3" s="164"/>
      <c r="BX3" s="164"/>
      <c r="BY3" s="164"/>
      <c r="BZ3" s="164"/>
      <c r="CA3" s="164"/>
      <c r="CB3" s="164"/>
      <c r="CC3" s="164"/>
      <c r="CD3" s="164"/>
    </row>
    <row r="4" spans="1:75" s="113" customFormat="1" ht="220.15" customHeight="1">
      <c r="A4" s="114">
        <v>3</v>
      </c>
      <c r="B4" s="116" vm="1" t="inlineStr">
        <is>
          <t>ROTR-PENS-3</t>
        </is>
      </c>
      <c r="C4" s="103" t="s">
        <v>214</v>
      </c>
      <c r="D4" s="104"/>
      <c r="E4" s="104" t="s">
        <v>186</v>
      </c>
      <c r="F4" s="103" t="s">
        <v>215</v>
      </c>
      <c r="G4" s="105"/>
      <c r="H4" s="103" t="s">
        <v>216</v>
      </c>
      <c r="I4" s="144" t="s">
        <v>217</v>
      </c>
      <c r="J4" s="104">
        <v>3</v>
      </c>
      <c r="K4" s="104">
        <v>5</v>
      </c>
      <c r="L4" s="102">
        <f>IF((Matriz_Riesgos[[#This Row],[Frecuencia]]+Matriz_Riesgos[[#This Row],[Impacto]]-1)=-1,"",Matriz_Riesgos[[#This Row],[Frecuencia]]+Matriz_Riesgos[[#This Row],[Impacto]]-1)</f>
        <v>7</v>
      </c>
      <c r="M4" s="102" t="str">
        <f>IFERROR(VLOOKUP(Matriz_Riesgos[[#This Row],[Valor del Riesgo Inherente]],t_nivel_riesgo[],2,FALSE), "")</f>
        <v>Riesgo Alto</v>
      </c>
      <c r="N4" s="103" t="s">
        <v>214</v>
      </c>
      <c r="O4" s="104" t="s">
        <v>218</v>
      </c>
      <c r="P4" s="4" t="s">
        <v>219</v>
      </c>
      <c r="Q4" s="106"/>
      <c r="R4" s="106"/>
      <c r="S4" s="106"/>
      <c r="T4" s="107" t="s">
        <v>220</v>
      </c>
      <c r="U4" s="108" t="s">
        <v>221</v>
      </c>
      <c r="V4" s="109">
        <f>IFERROR(VLOOKUP(U4,Listas!$A$30:$C$35,2,FALSE),"")</f>
      </c>
      <c r="W4" s="110">
        <f>IFERROR(VLOOKUP(U4,Listas!$A$30:$C$35,3,FALSE),"")</f>
      </c>
      <c r="X4" s="107" t="s">
        <v>222</v>
      </c>
      <c r="Y4" s="108" t="s">
        <v>221</v>
      </c>
      <c r="Z4" s="102">
        <f>IFERROR(VLOOKUP(Y4,Listas!$A$30:$C$35,2,FALSE),"")</f>
      </c>
      <c r="AA4" s="110">
        <f>IFERROR(VLOOKUP(Y4,Listas!$A$30:$C$35,3,FALSE),"")</f>
      </c>
      <c r="AB4" s="107" t="s">
        <v>223</v>
      </c>
      <c r="AC4" s="108" t="s">
        <v>221</v>
      </c>
      <c r="AD4" s="109">
        <f>IFERROR(VLOOKUP(AC4,Listas!$A$30:$C$35,2,FALSE),"")</f>
      </c>
      <c r="AE4" s="110">
        <f>IFERROR(VLOOKUP(AC4,Listas!$A$30:$C$35,3,FALSE),"")</f>
      </c>
      <c r="AF4" s="104"/>
      <c r="AG4" s="111" vm="1">
        <f>IF(AND(T4="",X4="",AB4=""),"",('Otras Tablas'!$B$3*IF(W4="",0,W4)+'Otras Tablas'!$B$4*IF(AA4="",0,AA4)+'Otras Tablas'!$B$5*IF(AE4="",0,AE4)))</f>
      </c>
      <c r="AH4" s="102" t="str">
        <f>IF(Matriz_Riesgos[[#This Row],[Riesgo Inherente]]="","",Matriz_Riesgos[[#This Row],[Riesgo Inherente]])</f>
        <v>Aprobación y reconocimiento de una prestación pensional a una persona que no cumple los requisitos legales</v>
      </c>
      <c r="AI4"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
      </c>
      <c r="AJ4"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
      </c>
      <c r="AK4" s="102" t="str">
        <f>IFERROR(ROUND(MAX(1,Matriz_Riesgos[[#This Row],[Valor del Riesgo Inherente]]*(1 - Matriz_Riesgos[[#This Row],[Efectividad Total Ponderada de los Controles]])),0), "")</f>
        <v/>
      </c>
      <c r="AL4" s="102" t="str">
        <f>IFERROR(VLOOKUP(Matriz_Riesgos[[#This Row],[Valor del Riesgo Residual]],t_nivel_riesgo[],2,FALSE),"")</f>
        <v/>
      </c>
      <c r="AM4" s="104" t="s">
        <v>197</v>
      </c>
      <c r="AN4" s="105" t="s">
        <v>224</v>
      </c>
      <c r="AO4" s="103">
        <v>6</v>
      </c>
      <c r="AP4" s="107" t="s">
        <v>225</v>
      </c>
      <c r="AQ4" s="103">
        <v>8</v>
      </c>
      <c r="AR4" s="103"/>
      <c r="AS4" s="103"/>
      <c r="AT4" s="103"/>
      <c r="AU4" s="103"/>
      <c r="AV4" s="103"/>
      <c r="AW4" s="103"/>
      <c r="AX4" s="112" t="str">
        <f>IFERROR((1-Matriz_Riesgos[[#This Row],[Efectividad Total Ponderada de los Controles]])*Matriz_Riesgos[[#This Row],[Frecuencia]],"")</f>
        <v/>
      </c>
      <c r="AY4" s="112" t="str">
        <f>IFERROR((1-Matriz_Riesgos[[#This Row],[Efectividad Total Ponderada de los Controles]])*Matriz_Riesgos[[#This Row],[Impacto]],"")</f>
        <v/>
      </c>
      <c r="AZ4" s="112" t="str">
        <f>IFERROR(Matriz_Riesgos[[#This Row],[Valor del Riesgo Residual]] + 1, "")</f>
        <v/>
      </c>
      <c r="BA4" s="112" t="str">
        <f>IFERROR(MAX(1, ROUNDDOWN(Matriz_Riesgos[[#This Row],[Frecuencia Residual (AUX)]],0)),"")</f>
        <v/>
      </c>
      <c r="BB4" s="112" t="str">
        <f>IFERROR(MAX(1, ROUNDDOWN(Matriz_Riesgos[[#This Row],[Impacto Residual (AUX)]],0)),"")</f>
        <v/>
      </c>
      <c r="BC4" s="112">
        <f>IF(Matriz_Riesgos[[#This Row],[Frecuencia]]="","",Matriz_Riesgos[[#This Row],[Frecuencia]])</f>
        <v>3</v>
      </c>
      <c r="BD4" s="112">
        <f>IF(Matriz_Riesgos[[#This Row],[Impacto]]="","",Matriz_Riesgos[[#This Row],[Impacto]])</f>
        <v>5</v>
      </c>
      <c r="BE4" s="112" t="str">
        <f>IF(OR(Matriz_Riesgos[[#This Row],[Tope F (AUX)]]="",Matriz_Riesgos[[#This Row],[F_base (AUX)]]=""),"",MAX(0,Matriz_Riesgos[[#This Row],[Tope F (AUX)]]-Matriz_Riesgos[[#This Row],[F_base (AUX)]]))</f>
        <v/>
      </c>
      <c r="BF4" s="112" t="str">
        <f>IF(OR(Matriz_Riesgos[[#This Row],[Tope I (AUX)]]="",Matriz_Riesgos[[#This Row],[I_base (AUX)]]=""),"",MAX(0,Matriz_Riesgos[[#This Row],[Tope I (AUX)]]-Matriz_Riesgos[[#This Row],[I_base (AUX)]]))</f>
        <v/>
      </c>
      <c r="BG4" s="112" t="str">
        <f>IF(OR(Matriz_Riesgos[[#This Row],[Suma Residual redondeada (AUX)]]="",Matriz_Riesgos[[#This Row],[F_base (AUX)]]="",Matriz_Riesgos[[#This Row],[I_base (AUX)]]=""),"",MAX(0,Matriz_Riesgos[[#This Row],[Suma Residual redondeada (AUX)]]-(Matriz_Riesgos[[#This Row],[F_base (AUX)]]+Matriz_Riesgos[[#This Row],[I_base (AUX)]])))</f>
        <v/>
      </c>
      <c r="BH4" s="112" t="str">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
      </c>
      <c r="BI4" s="112" t="str">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
      </c>
      <c r="BJ4" s="112" t="str">
        <f>IF(OR(Matriz_Riesgos[[#This Row],[Resto (AUX)]]="",Matriz_Riesgos[[#This Row],[Capacidad F (AUX)]]="",Matriz_Riesgos[[#This Row],[Inc_I (AUX)]]=""),"",MIN(Matriz_Riesgos[[#This Row],[Capacidad F (AUX)]], MAX(0,Matriz_Riesgos[[#This Row],[Resto (AUX)]]-Matriz_Riesgos[[#This Row],[Inc_I (AUX)]])))</f>
        <v/>
      </c>
      <c r="BK4" s="112" t="str">
        <f>IFERROR(MAX(ROUND(Matriz_Riesgos[[#This Row],[Frecuencia Residual (AUX)]]+Matriz_Riesgos[[#This Row],[Impacto Residual (AUX)]]-1+Matriz_Riesgos[[#This Row],[Efectividad Total Ponderada de los Controles]],0),1),"")</f>
        <v/>
      </c>
      <c r="BL4" s="112" t="str">
        <f>IFERROR(Matriz_Riesgos[[#This Row],[Valor del Riesgo Residual]]-Matriz_Riesgos[[#This Row],[Valor del Riesgo Residual (AUX)]],"")</f>
        <v/>
      </c>
      <c r="BM4" s="112" t="str">
        <f>IFERROR(Matriz_Riesgos[[#This Row],[Frecuencia Residual]]+Matriz_Riesgos[[#This Row],[Impacto Residual]]-1,"")</f>
        <v/>
      </c>
      <c r="BN4" s="112" t="str">
        <f>IFERROR(Matriz_Riesgos[[#This Row],[Valor del Riesgo Residual]]-Matriz_Riesgos[[#This Row],[VRR 2]],"")</f>
        <v/>
      </c>
      <c r="BO4" s="112" t="str">
        <f>IFERROR(Matriz_Riesgos[[#This Row],[Frecuencia]]-Matriz_Riesgos[[#This Row],[Frecuencia Residual]],"")</f>
        <v/>
      </c>
      <c r="BP4" s="112" t="str">
        <f>IFERROR(Matriz_Riesgos[[#This Row],[Impacto]]-Matriz_Riesgos[[#This Row],[Impacto Residual]],"")</f>
        <v/>
      </c>
      <c r="BQ4" s="112" t="str">
        <f>IFERROR(Matriz_Riesgos[[#This Row],[Valor del Riesgo Inherente]]-Matriz_Riesgos[[#This Row],[Valor del Riesgo Residual]],"")</f>
        <v/>
      </c>
      <c r="BR4" s="98" t="s">
        <v>226</v>
      </c>
      <c r="BS4" s="98"/>
      <c r="BT4" s="98"/>
      <c r="BU4" s="98"/>
      <c r="BV4" s="98"/>
      <c r="BW4" s="98"/>
      <c r="BX4" s="98"/>
      <c r="BY4" s="98"/>
      <c r="BZ4" s="98"/>
      <c r="CA4" s="98"/>
      <c r="CB4" s="98"/>
      <c r="CC4" s="98"/>
      <c r="CD4" s="98"/>
    </row>
    <row r="5" spans="1:75" ht="220.5" customHeight="1">
      <c r="A5" s="33">
        <v>4</v>
      </c>
      <c r="B5" s="97" vm="1" t="inlineStr">
        <is>
          <t>ROTR-PENS-4</t>
        </is>
      </c>
      <c r="C5" s="4" t="s">
        <v>214</v>
      </c>
      <c r="D5" s="25"/>
      <c r="E5" s="36" t="s">
        <v>186</v>
      </c>
      <c r="F5" s="4" t="s">
        <v>227</v>
      </c>
      <c r="G5" s="6"/>
      <c r="H5" s="103" t="s">
        <v>228</v>
      </c>
      <c r="I5" s="144" t="s">
        <v>229</v>
      </c>
      <c r="J5" s="25">
        <v>3</v>
      </c>
      <c r="K5" s="25">
        <v>5</v>
      </c>
      <c r="L5" s="37">
        <f>IF((Matriz_Riesgos[[#This Row],[Frecuencia]]+Matriz_Riesgos[[#This Row],[Impacto]]-1)=-1,"",Matriz_Riesgos[[#This Row],[Frecuencia]]+Matriz_Riesgos[[#This Row],[Impacto]]-1)</f>
        <v>7</v>
      </c>
      <c r="M5" s="37" t="str">
        <f>IFERROR(VLOOKUP(Matriz_Riesgos[[#This Row],[Valor del Riesgo Inherente]],t_nivel_riesgo[],2,FALSE), "")</f>
        <v>Riesgo Alto</v>
      </c>
      <c r="N5" s="4" t="s">
        <v>214</v>
      </c>
      <c r="O5" s="25" t="s">
        <v>218</v>
      </c>
      <c r="P5" s="4" t="s">
        <v>230</v>
      </c>
      <c r="Q5" s="64"/>
      <c r="R5" s="64"/>
      <c r="S5" s="64"/>
      <c r="T5" s="98" t="s">
        <v>231</v>
      </c>
      <c r="U5" s="55"/>
      <c r="V5" s="56"/>
      <c r="W5" s="57"/>
      <c r="X5" s="98" t="s">
        <v>232</v>
      </c>
      <c r="Y5" s="55"/>
      <c r="Z5" s="37"/>
      <c r="AA5" s="57"/>
      <c r="AB5" s="98" t="s">
        <v>233</v>
      </c>
      <c r="AC5" s="55"/>
      <c r="AD5" s="56"/>
      <c r="AE5" s="57"/>
      <c r="AF5" s="25"/>
      <c r="AG5" s="66">
        <f>IF(AND(T5="",X5="",AB5=""),"",('Otras Tablas'!$B$3*IF(W5="",0,W5)+'Otras Tablas'!$B$4*IF(AA5="",0,AA5)+'Otras Tablas'!$B$5*IF(AE5="",0,AE5)))</f>
      </c>
      <c r="AH5" s="102" t="str">
        <f>IF(Matriz_Riesgos[[#This Row],[Riesgo Inherente]]="","",Matriz_Riesgos[[#This Row],[Riesgo Inherente]])</f>
        <v>Pago de una o más cuotas de pension, posteriores a la fecha real de fallecimiento del pensionado, sin que el sistema del IHSS haya bloqueado oportunamente el beneficio</v>
      </c>
      <c r="AI5"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5"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5" s="102">
        <f>IFERROR(ROUND(MAX(1,Matriz_Riesgos[[#This Row],[Valor del Riesgo Inherente]]*(1 - Matriz_Riesgos[[#This Row],[Efectividad Total Ponderada de los Controles]])),0), "")</f>
        <v>7</v>
      </c>
      <c r="AL5" s="102" t="str">
        <f>IFERROR(VLOOKUP(Matriz_Riesgos[[#This Row],[Valor del Riesgo Residual]],t_nivel_riesgo[],2,FALSE),"")</f>
        <v>Riesgo Alto</v>
      </c>
      <c r="AM5" s="25" t="s">
        <v>197</v>
      </c>
      <c r="AN5" s="6"/>
      <c r="AO5" s="4"/>
      <c r="AP5" s="4"/>
      <c r="AQ5" s="4"/>
      <c r="AR5" s="4"/>
      <c r="AS5" s="4"/>
      <c r="AT5" s="4"/>
      <c r="AU5" s="4"/>
      <c r="AV5" s="4"/>
      <c r="AW5" s="4"/>
      <c r="AX5" s="96">
        <f>IFERROR((1-Matriz_Riesgos[[#This Row],[Efectividad Total Ponderada de los Controles]])*Matriz_Riesgos[[#This Row],[Frecuencia]],"")</f>
        <v>3</v>
      </c>
      <c r="AY5" s="96">
        <f>IFERROR((1-Matriz_Riesgos[[#This Row],[Efectividad Total Ponderada de los Controles]])*Matriz_Riesgos[[#This Row],[Impacto]],"")</f>
        <v>5</v>
      </c>
      <c r="AZ5" s="96">
        <f>IFERROR(Matriz_Riesgos[[#This Row],[Valor del Riesgo Residual]] + 1, "")</f>
        <v>8</v>
      </c>
      <c r="BA5" s="96">
        <f>IFERROR(MAX(1, ROUNDDOWN(Matriz_Riesgos[[#This Row],[Frecuencia Residual (AUX)]],0)),"")</f>
        <v>3</v>
      </c>
      <c r="BB5" s="96">
        <f>IFERROR(MAX(1, ROUNDDOWN(Matriz_Riesgos[[#This Row],[Impacto Residual (AUX)]],0)),"")</f>
        <v>5</v>
      </c>
      <c r="BC5" s="96">
        <f>IF(Matriz_Riesgos[[#This Row],[Frecuencia]]="","",Matriz_Riesgos[[#This Row],[Frecuencia]])</f>
        <v>3</v>
      </c>
      <c r="BD5" s="96">
        <f>IF(Matriz_Riesgos[[#This Row],[Impacto]]="","",Matriz_Riesgos[[#This Row],[Impacto]])</f>
        <v>5</v>
      </c>
      <c r="BE5" s="96">
        <f>IF(OR(Matriz_Riesgos[[#This Row],[Tope F (AUX)]]="",Matriz_Riesgos[[#This Row],[F_base (AUX)]]=""),"",MAX(0,Matriz_Riesgos[[#This Row],[Tope F (AUX)]]-Matriz_Riesgos[[#This Row],[F_base (AUX)]]))</f>
        <v>0</v>
      </c>
      <c r="BF5" s="96">
        <f>IF(OR(Matriz_Riesgos[[#This Row],[Tope I (AUX)]]="",Matriz_Riesgos[[#This Row],[I_base (AUX)]]=""),"",MAX(0,Matriz_Riesgos[[#This Row],[Tope I (AUX)]]-Matriz_Riesgos[[#This Row],[I_base (AUX)]]))</f>
        <v>0</v>
      </c>
      <c r="BG5" s="96">
        <f>IF(OR(Matriz_Riesgos[[#This Row],[Suma Residual redondeada (AUX)]]="",Matriz_Riesgos[[#This Row],[F_base (AUX)]]="",Matriz_Riesgos[[#This Row],[I_base (AUX)]]=""),"",MAX(0,Matriz_Riesgos[[#This Row],[Suma Residual redondeada (AUX)]]-(Matriz_Riesgos[[#This Row],[F_base (AUX)]]+Matriz_Riesgos[[#This Row],[I_base (AUX)]])))</f>
        <v>0</v>
      </c>
      <c r="BH5" s="96">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5" s="96">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5" s="96">
        <f>IF(OR(Matriz_Riesgos[[#This Row],[Resto (AUX)]]="",Matriz_Riesgos[[#This Row],[Capacidad F (AUX)]]="",Matriz_Riesgos[[#This Row],[Inc_I (AUX)]]=""),"",MIN(Matriz_Riesgos[[#This Row],[Capacidad F (AUX)]], MAX(0,Matriz_Riesgos[[#This Row],[Resto (AUX)]]-Matriz_Riesgos[[#This Row],[Inc_I (AUX)]])))</f>
        <v>0</v>
      </c>
      <c r="BK5" s="96">
        <f>IFERROR(MAX(ROUND(Matriz_Riesgos[[#This Row],[Frecuencia Residual (AUX)]]+Matriz_Riesgos[[#This Row],[Impacto Residual (AUX)]]-1+Matriz_Riesgos[[#This Row],[Efectividad Total Ponderada de los Controles]],0),1),"")</f>
        <v>7</v>
      </c>
      <c r="BL5" s="96">
        <f>IFERROR(Matriz_Riesgos[[#This Row],[Valor del Riesgo Residual]]-Matriz_Riesgos[[#This Row],[Valor del Riesgo Residual (AUX)]],"")</f>
        <v>0</v>
      </c>
      <c r="BM5" s="96">
        <f>IFERROR(Matriz_Riesgos[[#This Row],[Frecuencia Residual]]+Matriz_Riesgos[[#This Row],[Impacto Residual]]-1,"")</f>
        <v>7</v>
      </c>
      <c r="BN5" s="96">
        <f>IFERROR(Matriz_Riesgos[[#This Row],[Valor del Riesgo Residual]]-Matriz_Riesgos[[#This Row],[VRR 2]],"")</f>
        <v>0</v>
      </c>
      <c r="BO5" s="96">
        <f>IFERROR(Matriz_Riesgos[[#This Row],[Frecuencia]]-Matriz_Riesgos[[#This Row],[Frecuencia Residual]],"")</f>
        <v>0</v>
      </c>
      <c r="BP5" s="96">
        <f>IFERROR(Matriz_Riesgos[[#This Row],[Impacto]]-Matriz_Riesgos[[#This Row],[Impacto Residual]],"")</f>
        <v>0</v>
      </c>
      <c r="BQ5" s="96">
        <f>IFERROR(Matriz_Riesgos[[#This Row],[Valor del Riesgo Inherente]]-Matriz_Riesgos[[#This Row],[Valor del Riesgo Residual]],"")</f>
        <v>0</v>
      </c>
      <c r="BR5" s="4"/>
      <c r="BS5" s="4"/>
      <c r="BT5" s="4"/>
      <c r="BU5" s="9"/>
      <c r="BV5" s="9"/>
      <c r="BW5" s="9"/>
      <c r="BX5" s="4"/>
      <c r="BY5" s="4"/>
      <c r="BZ5" s="4"/>
      <c r="CA5" s="4"/>
      <c r="CB5" s="4"/>
      <c r="CC5" s="4"/>
      <c r="CD5" s="4"/>
    </row>
    <row r="6" spans="1:75" s="113" customFormat="1" ht="210.75" customHeight="1">
      <c r="A6" s="114">
        <v>5</v>
      </c>
      <c r="B6" s="102" t="inlineStr">
        <is>
          <t>ROTR-SUBS-5</t>
        </is>
      </c>
      <c r="C6" s="103" t="s">
        <v>234</v>
      </c>
      <c r="D6" s="104"/>
      <c r="E6" s="104" t="s">
        <v>186</v>
      </c>
      <c r="F6" s="103" t="s">
        <v>235</v>
      </c>
      <c r="G6" s="105"/>
      <c r="H6" s="103" t="s">
        <v>236</v>
      </c>
      <c r="I6" s="144" t="s">
        <v>237</v>
      </c>
      <c r="J6" s="104">
        <v>3</v>
      </c>
      <c r="K6" s="104">
        <v>4</v>
      </c>
      <c r="L6" s="102">
        <f>IF((Matriz_Riesgos[[#This Row],[Frecuencia]]+Matriz_Riesgos[[#This Row],[Impacto]]-1)=-1,"",Matriz_Riesgos[[#This Row],[Frecuencia]]+Matriz_Riesgos[[#This Row],[Impacto]]-1)</f>
        <v>6</v>
      </c>
      <c r="M6" s="102" t="str">
        <f>IFERROR(VLOOKUP(Matriz_Riesgos[[#This Row],[Valor del Riesgo Inherente]],t_nivel_riesgo[],2,FALSE), "")</f>
        <v>Riesgo Alto</v>
      </c>
      <c r="N6" s="103" t="s">
        <v>238</v>
      </c>
      <c r="O6" s="104" t="s">
        <v>238</v>
      </c>
      <c r="P6" s="103" t="s">
        <v>239</v>
      </c>
      <c r="Q6" s="106"/>
      <c r="R6" s="106"/>
      <c r="S6" s="106"/>
      <c r="T6" s="107" t="s">
        <v>240</v>
      </c>
      <c r="U6" s="108"/>
      <c r="V6" s="109"/>
      <c r="W6" s="110"/>
      <c r="X6" s="107" t="s">
        <v>241</v>
      </c>
      <c r="Y6" s="108"/>
      <c r="Z6" s="102"/>
      <c r="AA6" s="110"/>
      <c r="AB6" s="107" t="s">
        <v>242</v>
      </c>
      <c r="AC6" s="108"/>
      <c r="AD6" s="109"/>
      <c r="AE6" s="110"/>
      <c r="AF6" s="104"/>
      <c r="AG6" s="111">
        <f>IF(AND(T6="",X6="",AB6=""),"",('Otras Tablas'!$B$3*IF(W6="",0,W6)+'Otras Tablas'!$B$4*IF(AA6="",0,AA6)+'Otras Tablas'!$B$5*IF(AE6="",0,AE6)))</f>
      </c>
      <c r="AH6" s="102" t="str">
        <f>IF(Matriz_Riesgos[[#This Row],[Riesgo Inherente]]="","",Matriz_Riesgos[[#This Row],[Riesgo Inherente]])</f>
        <v>Reconocimiento y pago de subsidios o pension por invalidez, derivados de un accidente laboral que no ocurrio, ocurrio fuera del ambito laboral o fue respaldado con información falsa.</v>
      </c>
      <c r="AI6"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6"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4</v>
      </c>
      <c r="AK6" s="102">
        <f>IFERROR(ROUND(MAX(1,Matriz_Riesgos[[#This Row],[Valor del Riesgo Inherente]]*(1 - Matriz_Riesgos[[#This Row],[Efectividad Total Ponderada de los Controles]])),0), "")</f>
        <v>6</v>
      </c>
      <c r="AL6" s="102" t="str">
        <f>IFERROR(VLOOKUP(Matriz_Riesgos[[#This Row],[Valor del Riesgo Residual]],t_nivel_riesgo[],2,FALSE),"")</f>
        <v>Riesgo Alto</v>
      </c>
      <c r="AM6" s="104" t="s">
        <v>197</v>
      </c>
      <c r="AN6" s="105"/>
      <c r="AO6" s="103"/>
      <c r="AP6" s="103"/>
      <c r="AQ6" s="103"/>
      <c r="AR6" s="103"/>
      <c r="AS6" s="103"/>
      <c r="AT6" s="103"/>
      <c r="AU6" s="103"/>
      <c r="AV6" s="103"/>
      <c r="AW6" s="103"/>
      <c r="AX6" s="112">
        <f>IFERROR((1-Matriz_Riesgos[[#This Row],[Efectividad Total Ponderada de los Controles]])*Matriz_Riesgos[[#This Row],[Frecuencia]],"")</f>
        <v>3</v>
      </c>
      <c r="AY6" s="112">
        <f>IFERROR((1-Matriz_Riesgos[[#This Row],[Efectividad Total Ponderada de los Controles]])*Matriz_Riesgos[[#This Row],[Impacto]],"")</f>
        <v>4</v>
      </c>
      <c r="AZ6" s="112">
        <f>IFERROR(Matriz_Riesgos[[#This Row],[Valor del Riesgo Residual]] + 1, "")</f>
        <v>7</v>
      </c>
      <c r="BA6" s="112">
        <f>IFERROR(MAX(1, ROUNDDOWN(Matriz_Riesgos[[#This Row],[Frecuencia Residual (AUX)]],0)),"")</f>
        <v>3</v>
      </c>
      <c r="BB6" s="112">
        <f>IFERROR(MAX(1, ROUNDDOWN(Matriz_Riesgos[[#This Row],[Impacto Residual (AUX)]],0)),"")</f>
        <v>4</v>
      </c>
      <c r="BC6" s="112">
        <f>IF(Matriz_Riesgos[[#This Row],[Frecuencia]]="","",Matriz_Riesgos[[#This Row],[Frecuencia]])</f>
        <v>3</v>
      </c>
      <c r="BD6" s="112">
        <f>IF(Matriz_Riesgos[[#This Row],[Impacto]]="","",Matriz_Riesgos[[#This Row],[Impacto]])</f>
        <v>4</v>
      </c>
      <c r="BE6" s="112">
        <f>IF(OR(Matriz_Riesgos[[#This Row],[Tope F (AUX)]]="",Matriz_Riesgos[[#This Row],[F_base (AUX)]]=""),"",MAX(0,Matriz_Riesgos[[#This Row],[Tope F (AUX)]]-Matriz_Riesgos[[#This Row],[F_base (AUX)]]))</f>
        <v>0</v>
      </c>
      <c r="BF6" s="112">
        <f>IF(OR(Matriz_Riesgos[[#This Row],[Tope I (AUX)]]="",Matriz_Riesgos[[#This Row],[I_base (AUX)]]=""),"",MAX(0,Matriz_Riesgos[[#This Row],[Tope I (AUX)]]-Matriz_Riesgos[[#This Row],[I_base (AUX)]]))</f>
        <v>0</v>
      </c>
      <c r="BG6" s="112">
        <f>IF(OR(Matriz_Riesgos[[#This Row],[Suma Residual redondeada (AUX)]]="",Matriz_Riesgos[[#This Row],[F_base (AUX)]]="",Matriz_Riesgos[[#This Row],[I_base (AUX)]]=""),"",MAX(0,Matriz_Riesgos[[#This Row],[Suma Residual redondeada (AUX)]]-(Matriz_Riesgos[[#This Row],[F_base (AUX)]]+Matriz_Riesgos[[#This Row],[I_base (AUX)]])))</f>
        <v>0</v>
      </c>
      <c r="BH6"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6"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6" s="112">
        <f>IF(OR(Matriz_Riesgos[[#This Row],[Resto (AUX)]]="",Matriz_Riesgos[[#This Row],[Capacidad F (AUX)]]="",Matriz_Riesgos[[#This Row],[Inc_I (AUX)]]=""),"",MIN(Matriz_Riesgos[[#This Row],[Capacidad F (AUX)]], MAX(0,Matriz_Riesgos[[#This Row],[Resto (AUX)]]-Matriz_Riesgos[[#This Row],[Inc_I (AUX)]])))</f>
        <v>0</v>
      </c>
      <c r="BK6" s="112">
        <f>IFERROR(MAX(ROUND(Matriz_Riesgos[[#This Row],[Frecuencia Residual (AUX)]]+Matriz_Riesgos[[#This Row],[Impacto Residual (AUX)]]-1+Matriz_Riesgos[[#This Row],[Efectividad Total Ponderada de los Controles]],0),1),"")</f>
        <v>6</v>
      </c>
      <c r="BL6" s="112">
        <f>IFERROR(Matriz_Riesgos[[#This Row],[Valor del Riesgo Residual]]-Matriz_Riesgos[[#This Row],[Valor del Riesgo Residual (AUX)]],"")</f>
        <v>0</v>
      </c>
      <c r="BM6" s="112">
        <f>IFERROR(Matriz_Riesgos[[#This Row],[Frecuencia Residual]]+Matriz_Riesgos[[#This Row],[Impacto Residual]]-1,"")</f>
        <v>6</v>
      </c>
      <c r="BN6" s="112">
        <f>IFERROR(Matriz_Riesgos[[#This Row],[Valor del Riesgo Residual]]-Matriz_Riesgos[[#This Row],[VRR 2]],"")</f>
        <v>0</v>
      </c>
      <c r="BO6" s="112">
        <f>IFERROR(Matriz_Riesgos[[#This Row],[Frecuencia]]-Matriz_Riesgos[[#This Row],[Frecuencia Residual]],"")</f>
        <v>0</v>
      </c>
      <c r="BP6" s="112">
        <f>IFERROR(Matriz_Riesgos[[#This Row],[Impacto]]-Matriz_Riesgos[[#This Row],[Impacto Residual]],"")</f>
        <v>0</v>
      </c>
      <c r="BQ6" s="112">
        <f>IFERROR(Matriz_Riesgos[[#This Row],[Valor del Riesgo Inherente]]-Matriz_Riesgos[[#This Row],[Valor del Riesgo Residual]],"")</f>
        <v>0</v>
      </c>
      <c r="BR6" s="4"/>
      <c r="BS6" s="4"/>
      <c r="BT6" s="4"/>
      <c r="BU6" s="4"/>
      <c r="BV6" s="4"/>
      <c r="BW6" s="4"/>
      <c r="BX6" s="4"/>
      <c r="BY6" s="4"/>
      <c r="BZ6" s="4"/>
      <c r="CA6" s="4"/>
      <c r="CB6" s="4"/>
      <c r="CC6" s="4"/>
      <c r="CD6" s="4"/>
    </row>
    <row r="7" spans="1:75" s="113" customFormat="1" ht="202.5" customHeight="1">
      <c r="A7" s="114">
        <v>6</v>
      </c>
      <c r="B7" s="102" t="inlineStr">
        <is>
          <t>ROTR-SUBS-6</t>
        </is>
      </c>
      <c r="C7" s="103" t="s">
        <v>234</v>
      </c>
      <c r="D7" s="104"/>
      <c r="E7" s="104" t="s">
        <v>186</v>
      </c>
      <c r="F7" s="103" t="s">
        <v>243</v>
      </c>
      <c r="G7" s="105"/>
      <c r="H7" s="103" t="s">
        <v>244</v>
      </c>
      <c r="I7" s="144" t="s">
        <v>245</v>
      </c>
      <c r="J7" s="104">
        <v>4</v>
      </c>
      <c r="K7" s="104">
        <v>4</v>
      </c>
      <c r="L7" s="102">
        <f>IF((Matriz_Riesgos[[#This Row],[Frecuencia]]+Matriz_Riesgos[[#This Row],[Impacto]]-1)=-1,"",Matriz_Riesgos[[#This Row],[Frecuencia]]+Matriz_Riesgos[[#This Row],[Impacto]]-1)</f>
        <v>7</v>
      </c>
      <c r="M7" s="102" t="str">
        <f>IFERROR(VLOOKUP(Matriz_Riesgos[[#This Row],[Valor del Riesgo Inherente]],t_nivel_riesgo[],2,FALSE), "")</f>
        <v>Riesgo Alto</v>
      </c>
      <c r="N7" s="103" t="s">
        <v>206</v>
      </c>
      <c r="O7" s="104" t="s">
        <v>206</v>
      </c>
      <c r="P7" s="103" t="s">
        <v>246</v>
      </c>
      <c r="Q7" s="106"/>
      <c r="R7" s="106"/>
      <c r="S7" s="106"/>
      <c r="T7" s="107" t="s">
        <v>247</v>
      </c>
      <c r="U7" s="108"/>
      <c r="V7" s="109"/>
      <c r="W7" s="110"/>
      <c r="X7" s="107" t="s">
        <v>248</v>
      </c>
      <c r="Y7" s="108"/>
      <c r="Z7" s="102"/>
      <c r="AA7" s="110"/>
      <c r="AB7" s="107" t="s">
        <v>249</v>
      </c>
      <c r="AC7" s="108"/>
      <c r="AD7" s="109"/>
      <c r="AE7" s="110"/>
      <c r="AF7" s="104"/>
      <c r="AG7" s="111">
        <f>IF(AND(T7="",X7="",AB7=""),"",('Otras Tablas'!$B$3*IF(W7="",0,W7)+'Otras Tablas'!$B$4*IF(AA7="",0,AA7)+'Otras Tablas'!$B$5*IF(AE7="",0,AE7)))</f>
      </c>
      <c r="AH7" s="102" t="str">
        <f>IF(Matriz_Riesgos[[#This Row],[Riesgo Inherente]]="","",Matriz_Riesgos[[#This Row],[Riesgo Inherente]])</f>
        <v>Aprobación y pago de incapacidades prolongadas que no cuenten con soporte medico adecuado, emitidas de manera reiterada por el mismo profesional o superan tiempos estándar para el diagnóstico reportado</v>
      </c>
      <c r="AI7"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4</v>
      </c>
      <c r="AJ7"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4</v>
      </c>
      <c r="AK7" s="102">
        <f>IFERROR(ROUND(MAX(1,Matriz_Riesgos[[#This Row],[Valor del Riesgo Inherente]]*(1 - Matriz_Riesgos[[#This Row],[Efectividad Total Ponderada de los Controles]])),0), "")</f>
        <v>7</v>
      </c>
      <c r="AL7" s="102" t="str">
        <f>IFERROR(VLOOKUP(Matriz_Riesgos[[#This Row],[Valor del Riesgo Residual]],t_nivel_riesgo[],2,FALSE),"")</f>
        <v>Riesgo Alto</v>
      </c>
      <c r="AM7" s="104" t="s">
        <v>197</v>
      </c>
      <c r="AN7" s="105"/>
      <c r="AO7" s="103"/>
      <c r="AP7" s="103"/>
      <c r="AQ7" s="103"/>
      <c r="AR7" s="103"/>
      <c r="AS7" s="103"/>
      <c r="AT7" s="103"/>
      <c r="AU7" s="103"/>
      <c r="AV7" s="103"/>
      <c r="AW7" s="103"/>
      <c r="AX7" s="112">
        <f>IFERROR((1-Matriz_Riesgos[[#This Row],[Efectividad Total Ponderada de los Controles]])*Matriz_Riesgos[[#This Row],[Frecuencia]],"")</f>
        <v>4</v>
      </c>
      <c r="AY7" s="112">
        <f>IFERROR((1-Matriz_Riesgos[[#This Row],[Efectividad Total Ponderada de los Controles]])*Matriz_Riesgos[[#This Row],[Impacto]],"")</f>
        <v>4</v>
      </c>
      <c r="AZ7" s="112">
        <f>IFERROR(Matriz_Riesgos[[#This Row],[Valor del Riesgo Residual]] + 1, "")</f>
        <v>8</v>
      </c>
      <c r="BA7" s="112">
        <f>IFERROR(MAX(1, ROUNDDOWN(Matriz_Riesgos[[#This Row],[Frecuencia Residual (AUX)]],0)),"")</f>
        <v>4</v>
      </c>
      <c r="BB7" s="112">
        <f>IFERROR(MAX(1, ROUNDDOWN(Matriz_Riesgos[[#This Row],[Impacto Residual (AUX)]],0)),"")</f>
        <v>4</v>
      </c>
      <c r="BC7" s="112">
        <f>IF(Matriz_Riesgos[[#This Row],[Frecuencia]]="","",Matriz_Riesgos[[#This Row],[Frecuencia]])</f>
        <v>4</v>
      </c>
      <c r="BD7" s="112">
        <f>IF(Matriz_Riesgos[[#This Row],[Impacto]]="","",Matriz_Riesgos[[#This Row],[Impacto]])</f>
        <v>4</v>
      </c>
      <c r="BE7" s="112">
        <f>IF(OR(Matriz_Riesgos[[#This Row],[Tope F (AUX)]]="",Matriz_Riesgos[[#This Row],[F_base (AUX)]]=""),"",MAX(0,Matriz_Riesgos[[#This Row],[Tope F (AUX)]]-Matriz_Riesgos[[#This Row],[F_base (AUX)]]))</f>
        <v>0</v>
      </c>
      <c r="BF7" s="112">
        <f>IF(OR(Matriz_Riesgos[[#This Row],[Tope I (AUX)]]="",Matriz_Riesgos[[#This Row],[I_base (AUX)]]=""),"",MAX(0,Matriz_Riesgos[[#This Row],[Tope I (AUX)]]-Matriz_Riesgos[[#This Row],[I_base (AUX)]]))</f>
        <v>0</v>
      </c>
      <c r="BG7" s="112">
        <f>IF(OR(Matriz_Riesgos[[#This Row],[Suma Residual redondeada (AUX)]]="",Matriz_Riesgos[[#This Row],[F_base (AUX)]]="",Matriz_Riesgos[[#This Row],[I_base (AUX)]]=""),"",MAX(0,Matriz_Riesgos[[#This Row],[Suma Residual redondeada (AUX)]]-(Matriz_Riesgos[[#This Row],[F_base (AUX)]]+Matriz_Riesgos[[#This Row],[I_base (AUX)]])))</f>
        <v>0</v>
      </c>
      <c r="BH7"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7"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7" s="112">
        <f>IF(OR(Matriz_Riesgos[[#This Row],[Resto (AUX)]]="",Matriz_Riesgos[[#This Row],[Capacidad F (AUX)]]="",Matriz_Riesgos[[#This Row],[Inc_I (AUX)]]=""),"",MIN(Matriz_Riesgos[[#This Row],[Capacidad F (AUX)]], MAX(0,Matriz_Riesgos[[#This Row],[Resto (AUX)]]-Matriz_Riesgos[[#This Row],[Inc_I (AUX)]])))</f>
        <v>0</v>
      </c>
      <c r="BK7" s="112">
        <f>IFERROR(MAX(ROUND(Matriz_Riesgos[[#This Row],[Frecuencia Residual (AUX)]]+Matriz_Riesgos[[#This Row],[Impacto Residual (AUX)]]-1+Matriz_Riesgos[[#This Row],[Efectividad Total Ponderada de los Controles]],0),1),"")</f>
        <v>7</v>
      </c>
      <c r="BL7" s="112">
        <f>IFERROR(Matriz_Riesgos[[#This Row],[Valor del Riesgo Residual]]-Matriz_Riesgos[[#This Row],[Valor del Riesgo Residual (AUX)]],"")</f>
        <v>0</v>
      </c>
      <c r="BM7" s="112">
        <f>IFERROR(Matriz_Riesgos[[#This Row],[Frecuencia Residual]]+Matriz_Riesgos[[#This Row],[Impacto Residual]]-1,"")</f>
        <v>7</v>
      </c>
      <c r="BN7" s="112">
        <f>IFERROR(Matriz_Riesgos[[#This Row],[Valor del Riesgo Residual]]-Matriz_Riesgos[[#This Row],[VRR 2]],"")</f>
        <v>0</v>
      </c>
      <c r="BO7" s="112">
        <f>IFERROR(Matriz_Riesgos[[#This Row],[Frecuencia]]-Matriz_Riesgos[[#This Row],[Frecuencia Residual]],"")</f>
        <v>0</v>
      </c>
      <c r="BP7" s="112">
        <f>IFERROR(Matriz_Riesgos[[#This Row],[Impacto]]-Matriz_Riesgos[[#This Row],[Impacto Residual]],"")</f>
        <v>0</v>
      </c>
      <c r="BQ7" s="112">
        <f>IFERROR(Matriz_Riesgos[[#This Row],[Valor del Riesgo Inherente]]-Matriz_Riesgos[[#This Row],[Valor del Riesgo Residual]],"")</f>
        <v>0</v>
      </c>
      <c r="BR7" s="4"/>
      <c r="BS7" s="4"/>
      <c r="BT7" s="4"/>
      <c r="BU7" s="4"/>
      <c r="BV7" s="4"/>
      <c r="BW7" s="4"/>
      <c r="BX7" s="4"/>
      <c r="BY7" s="4"/>
      <c r="BZ7" s="4"/>
      <c r="CA7" s="4"/>
      <c r="CB7" s="4"/>
      <c r="CC7" s="4"/>
      <c r="CD7" s="4"/>
    </row>
    <row r="8" spans="1:75" s="113" customFormat="1" ht="195" customHeight="1">
      <c r="A8" s="114">
        <v>7</v>
      </c>
      <c r="B8" s="102" t="inlineStr">
        <is>
          <t>ROTR-COMPRAS-7</t>
        </is>
      </c>
      <c r="C8" s="103" t="s">
        <v>250</v>
      </c>
      <c r="D8" s="104"/>
      <c r="E8" s="104" t="s">
        <v>186</v>
      </c>
      <c r="F8" s="103" t="s">
        <v>251</v>
      </c>
      <c r="G8" s="105"/>
      <c r="H8" s="103" t="s">
        <v>252</v>
      </c>
      <c r="I8" s="144" t="s">
        <v>253</v>
      </c>
      <c r="J8" s="104">
        <v>5</v>
      </c>
      <c r="K8" s="104">
        <v>5</v>
      </c>
      <c r="L8" s="102">
        <f>IF((Matriz_Riesgos[[#This Row],[Frecuencia]]+Matriz_Riesgos[[#This Row],[Impacto]]-1)=-1,"",Matriz_Riesgos[[#This Row],[Frecuencia]]+Matriz_Riesgos[[#This Row],[Impacto]]-1)</f>
        <v>9</v>
      </c>
      <c r="M8" s="102" t="str">
        <f>IFERROR(VLOOKUP(Matriz_Riesgos[[#This Row],[Valor del Riesgo Inherente]],t_nivel_riesgo[],2,FALSE), "")</f>
        <v>Riesgo Intolerable</v>
      </c>
      <c r="N8" s="103" t="s">
        <v>206</v>
      </c>
      <c r="O8" s="104" t="s">
        <v>206</v>
      </c>
      <c r="P8" s="103" t="s">
        <v>254</v>
      </c>
      <c r="Q8" s="106"/>
      <c r="R8" s="106"/>
      <c r="S8" s="106"/>
      <c r="T8" s="107" t="s">
        <v>255</v>
      </c>
      <c r="U8" s="108"/>
      <c r="V8" s="109"/>
      <c r="W8" s="110"/>
      <c r="X8" s="107" t="s">
        <v>256</v>
      </c>
      <c r="Y8" s="108"/>
      <c r="Z8" s="102"/>
      <c r="AA8" s="110"/>
      <c r="AB8" s="107" t="s">
        <v>257</v>
      </c>
      <c r="AC8" s="108"/>
      <c r="AD8" s="109"/>
      <c r="AE8" s="110"/>
      <c r="AF8" s="104"/>
      <c r="AG8" s="111">
        <f>IF(AND(T8="",X8="",AB8=""),"",('Otras Tablas'!$B$3*IF(W8="",0,W8)+'Otras Tablas'!$B$4*IF(AA8="",0,AA8)+'Otras Tablas'!$B$5*IF(AE8="",0,AE8)))</f>
      </c>
      <c r="AH8" s="102" t="str">
        <f>IF(Matriz_Riesgos[[#This Row],[Riesgo Inherente]]="","",Matriz_Riesgos[[#This Row],[Riesgo Inherente]])</f>
        <v>Pago de cuentas médicas o registros contables que incluyen medicamentos no dispensados al derechohabiente, entregados parcialmente pero facturados en su totalidad, sustituidos por otros de menor valor, registrados sin soporte de entrega o sin firma de recibido.</v>
      </c>
      <c r="AI8"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5</v>
      </c>
      <c r="AJ8"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8" s="102">
        <f>IFERROR(ROUND(MAX(1,Matriz_Riesgos[[#This Row],[Valor del Riesgo Inherente]]*(1 - Matriz_Riesgos[[#This Row],[Efectividad Total Ponderada de los Controles]])),0), "")</f>
        <v>9</v>
      </c>
      <c r="AL8" s="102" t="str">
        <f>IFERROR(VLOOKUP(Matriz_Riesgos[[#This Row],[Valor del Riesgo Residual]],t_nivel_riesgo[],2,FALSE),"")</f>
        <v>Riesgo Intolerable</v>
      </c>
      <c r="AM8" s="104" t="s">
        <v>197</v>
      </c>
      <c r="AN8" s="105"/>
      <c r="AO8" s="103"/>
      <c r="AP8" s="103"/>
      <c r="AQ8" s="103"/>
      <c r="AR8" s="103"/>
      <c r="AS8" s="103"/>
      <c r="AT8" s="103"/>
      <c r="AU8" s="103"/>
      <c r="AV8" s="103"/>
      <c r="AW8" s="103"/>
      <c r="AX8" s="112">
        <f>IFERROR((1-Matriz_Riesgos[[#This Row],[Efectividad Total Ponderada de los Controles]])*Matriz_Riesgos[[#This Row],[Frecuencia]],"")</f>
        <v>5</v>
      </c>
      <c r="AY8" s="112">
        <f>IFERROR((1-Matriz_Riesgos[[#This Row],[Efectividad Total Ponderada de los Controles]])*Matriz_Riesgos[[#This Row],[Impacto]],"")</f>
        <v>5</v>
      </c>
      <c r="AZ8" s="112">
        <f>IFERROR(Matriz_Riesgos[[#This Row],[Valor del Riesgo Residual]] + 1, "")</f>
        <v>10</v>
      </c>
      <c r="BA8" s="112">
        <f>IFERROR(MAX(1, ROUNDDOWN(Matriz_Riesgos[[#This Row],[Frecuencia Residual (AUX)]],0)),"")</f>
        <v>5</v>
      </c>
      <c r="BB8" s="112">
        <f>IFERROR(MAX(1, ROUNDDOWN(Matriz_Riesgos[[#This Row],[Impacto Residual (AUX)]],0)),"")</f>
        <v>5</v>
      </c>
      <c r="BC8" s="112">
        <f>IF(Matriz_Riesgos[[#This Row],[Frecuencia]]="","",Matriz_Riesgos[[#This Row],[Frecuencia]])</f>
        <v>5</v>
      </c>
      <c r="BD8" s="112">
        <f>IF(Matriz_Riesgos[[#This Row],[Impacto]]="","",Matriz_Riesgos[[#This Row],[Impacto]])</f>
        <v>5</v>
      </c>
      <c r="BE8" s="112">
        <f>IF(OR(Matriz_Riesgos[[#This Row],[Tope F (AUX)]]="",Matriz_Riesgos[[#This Row],[F_base (AUX)]]=""),"",MAX(0,Matriz_Riesgos[[#This Row],[Tope F (AUX)]]-Matriz_Riesgos[[#This Row],[F_base (AUX)]]))</f>
        <v>0</v>
      </c>
      <c r="BF8" s="112">
        <f>IF(OR(Matriz_Riesgos[[#This Row],[Tope I (AUX)]]="",Matriz_Riesgos[[#This Row],[I_base (AUX)]]=""),"",MAX(0,Matriz_Riesgos[[#This Row],[Tope I (AUX)]]-Matriz_Riesgos[[#This Row],[I_base (AUX)]]))</f>
        <v>0</v>
      </c>
      <c r="BG8" s="112">
        <f>IF(OR(Matriz_Riesgos[[#This Row],[Suma Residual redondeada (AUX)]]="",Matriz_Riesgos[[#This Row],[F_base (AUX)]]="",Matriz_Riesgos[[#This Row],[I_base (AUX)]]=""),"",MAX(0,Matriz_Riesgos[[#This Row],[Suma Residual redondeada (AUX)]]-(Matriz_Riesgos[[#This Row],[F_base (AUX)]]+Matriz_Riesgos[[#This Row],[I_base (AUX)]])))</f>
        <v>0</v>
      </c>
      <c r="BH8"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8"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8" s="112">
        <f>IF(OR(Matriz_Riesgos[[#This Row],[Resto (AUX)]]="",Matriz_Riesgos[[#This Row],[Capacidad F (AUX)]]="",Matriz_Riesgos[[#This Row],[Inc_I (AUX)]]=""),"",MIN(Matriz_Riesgos[[#This Row],[Capacidad F (AUX)]], MAX(0,Matriz_Riesgos[[#This Row],[Resto (AUX)]]-Matriz_Riesgos[[#This Row],[Inc_I (AUX)]])))</f>
        <v>0</v>
      </c>
      <c r="BK8" s="112">
        <f>IFERROR(MAX(ROUND(Matriz_Riesgos[[#This Row],[Frecuencia Residual (AUX)]]+Matriz_Riesgos[[#This Row],[Impacto Residual (AUX)]]-1+Matriz_Riesgos[[#This Row],[Efectividad Total Ponderada de los Controles]],0),1),"")</f>
        <v>9</v>
      </c>
      <c r="BL8" s="112">
        <f>IFERROR(Matriz_Riesgos[[#This Row],[Valor del Riesgo Residual]]-Matriz_Riesgos[[#This Row],[Valor del Riesgo Residual (AUX)]],"")</f>
        <v>0</v>
      </c>
      <c r="BM8" s="112">
        <f>IFERROR(Matriz_Riesgos[[#This Row],[Frecuencia Residual]]+Matriz_Riesgos[[#This Row],[Impacto Residual]]-1,"")</f>
        <v>9</v>
      </c>
      <c r="BN8" s="112">
        <f>IFERROR(Matriz_Riesgos[[#This Row],[Valor del Riesgo Residual]]-Matriz_Riesgos[[#This Row],[VRR 2]],"")</f>
        <v>0</v>
      </c>
      <c r="BO8" s="112">
        <f>IFERROR(Matriz_Riesgos[[#This Row],[Frecuencia]]-Matriz_Riesgos[[#This Row],[Frecuencia Residual]],"")</f>
        <v>0</v>
      </c>
      <c r="BP8" s="112">
        <f>IFERROR(Matriz_Riesgos[[#This Row],[Impacto]]-Matriz_Riesgos[[#This Row],[Impacto Residual]],"")</f>
        <v>0</v>
      </c>
      <c r="BQ8" s="112">
        <f>IFERROR(Matriz_Riesgos[[#This Row],[Valor del Riesgo Inherente]]-Matriz_Riesgos[[#This Row],[Valor del Riesgo Residual]],"")</f>
        <v>0</v>
      </c>
      <c r="BR8" s="4"/>
      <c r="BS8" s="4"/>
      <c r="BT8" s="4"/>
      <c r="BU8" s="4"/>
      <c r="BV8" s="4"/>
      <c r="BW8" s="4"/>
      <c r="BX8" s="4"/>
      <c r="BY8" s="4"/>
      <c r="BZ8" s="4"/>
      <c r="CA8" s="4"/>
      <c r="CB8" s="4"/>
      <c r="CC8" s="4"/>
      <c r="CD8" s="4"/>
    </row>
    <row r="9" spans="1:75" s="113" customFormat="1" ht="240" customHeight="1">
      <c r="A9" s="114">
        <v>8</v>
      </c>
      <c r="B9" s="102" t="inlineStr">
        <is>
          <t>ROTR-RRHH-8</t>
        </is>
      </c>
      <c r="C9" s="103" t="s">
        <v>258</v>
      </c>
      <c r="D9" s="104"/>
      <c r="E9" s="104" t="s">
        <v>186</v>
      </c>
      <c r="F9" s="103" t="s">
        <v>259</v>
      </c>
      <c r="G9" s="105"/>
      <c r="H9" s="103" t="s">
        <v>260</v>
      </c>
      <c r="I9" s="144" t="s">
        <v>261</v>
      </c>
      <c r="J9" s="104">
        <v>3</v>
      </c>
      <c r="K9" s="104">
        <v>5</v>
      </c>
      <c r="L9" s="102">
        <f>IF((Matriz_Riesgos[[#This Row],[Frecuencia]]+Matriz_Riesgos[[#This Row],[Impacto]]-1)=-1,"",Matriz_Riesgos[[#This Row],[Frecuencia]]+Matriz_Riesgos[[#This Row],[Impacto]]-1)</f>
        <v>7</v>
      </c>
      <c r="M9" s="102" t="str">
        <f>IFERROR(VLOOKUP(Matriz_Riesgos[[#This Row],[Valor del Riesgo Inherente]],t_nivel_riesgo[],2,FALSE), "")</f>
        <v>Riesgo Alto</v>
      </c>
      <c r="N9" s="103" t="s">
        <v>258</v>
      </c>
      <c r="O9" s="104" t="s">
        <v>190</v>
      </c>
      <c r="P9" s="103" t="s">
        <v>262</v>
      </c>
      <c r="Q9" s="106"/>
      <c r="R9" s="106"/>
      <c r="S9" s="106"/>
      <c r="T9" s="107" t="s">
        <v>263</v>
      </c>
      <c r="U9" s="108"/>
      <c r="V9" s="109"/>
      <c r="W9" s="110"/>
      <c r="X9" s="107" t="s">
        <v>264</v>
      </c>
      <c r="Y9" s="108"/>
      <c r="Z9" s="102"/>
      <c r="AA9" s="110"/>
      <c r="AB9" s="107" t="s">
        <v>265</v>
      </c>
      <c r="AC9" s="108"/>
      <c r="AD9" s="109"/>
      <c r="AE9" s="110"/>
      <c r="AF9" s="104"/>
      <c r="AG9" s="111">
        <f>IF(AND(T9="",X9="",AB9=""),"",('Otras Tablas'!$B$3*IF(W9="",0,W9)+'Otras Tablas'!$B$4*IF(AA9="",0,AA9)+'Otras Tablas'!$B$5*IF(AE9="",0,AE9)))</f>
      </c>
      <c r="AH9" s="102" t="str">
        <f>IF(Matriz_Riesgos[[#This Row],[Riesgo Inherente]]="","",Matriz_Riesgos[[#This Row],[Riesgo Inherente]])</f>
        <v>Adjudicación o celebración de contratos en los que se diseñan pliegos o términos de referencia a la medida de un proponente, se omiten requisitos legales o técnicos, se alteran evaluaciones, se permite participación de oferentes no elegibles, se manipulan estudios previos o análisis de mercado.</v>
      </c>
      <c r="AI9"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9"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9" s="102">
        <f>IFERROR(ROUND(MAX(1,Matriz_Riesgos[[#This Row],[Valor del Riesgo Inherente]]*(1 - Matriz_Riesgos[[#This Row],[Efectividad Total Ponderada de los Controles]])),0), "")</f>
        <v>7</v>
      </c>
      <c r="AL9" s="102" t="str">
        <f>IFERROR(VLOOKUP(Matriz_Riesgos[[#This Row],[Valor del Riesgo Residual]],t_nivel_riesgo[],2,FALSE),"")</f>
        <v>Riesgo Alto</v>
      </c>
      <c r="AM9" s="104" t="s">
        <v>197</v>
      </c>
      <c r="AN9" s="105"/>
      <c r="AO9" s="103"/>
      <c r="AP9" s="103"/>
      <c r="AQ9" s="103"/>
      <c r="AR9" s="103"/>
      <c r="AS9" s="103"/>
      <c r="AT9" s="103"/>
      <c r="AU9" s="103"/>
      <c r="AV9" s="103"/>
      <c r="AW9" s="103"/>
      <c r="AX9" s="112">
        <f>IFERROR((1-Matriz_Riesgos[[#This Row],[Efectividad Total Ponderada de los Controles]])*Matriz_Riesgos[[#This Row],[Frecuencia]],"")</f>
        <v>3</v>
      </c>
      <c r="AY9" s="112">
        <f>IFERROR((1-Matriz_Riesgos[[#This Row],[Efectividad Total Ponderada de los Controles]])*Matriz_Riesgos[[#This Row],[Impacto]],"")</f>
        <v>5</v>
      </c>
      <c r="AZ9" s="112">
        <f>IFERROR(Matriz_Riesgos[[#This Row],[Valor del Riesgo Residual]] + 1, "")</f>
        <v>8</v>
      </c>
      <c r="BA9" s="112">
        <f>IFERROR(MAX(1, ROUNDDOWN(Matriz_Riesgos[[#This Row],[Frecuencia Residual (AUX)]],0)),"")</f>
        <v>3</v>
      </c>
      <c r="BB9" s="112">
        <f>IFERROR(MAX(1, ROUNDDOWN(Matriz_Riesgos[[#This Row],[Impacto Residual (AUX)]],0)),"")</f>
        <v>5</v>
      </c>
      <c r="BC9" s="112">
        <f>IF(Matriz_Riesgos[[#This Row],[Frecuencia]]="","",Matriz_Riesgos[[#This Row],[Frecuencia]])</f>
        <v>3</v>
      </c>
      <c r="BD9" s="112">
        <f>IF(Matriz_Riesgos[[#This Row],[Impacto]]="","",Matriz_Riesgos[[#This Row],[Impacto]])</f>
        <v>5</v>
      </c>
      <c r="BE9" s="112">
        <f>IF(OR(Matriz_Riesgos[[#This Row],[Tope F (AUX)]]="",Matriz_Riesgos[[#This Row],[F_base (AUX)]]=""),"",MAX(0,Matriz_Riesgos[[#This Row],[Tope F (AUX)]]-Matriz_Riesgos[[#This Row],[F_base (AUX)]]))</f>
        <v>0</v>
      </c>
      <c r="BF9" s="112">
        <f>IF(OR(Matriz_Riesgos[[#This Row],[Tope I (AUX)]]="",Matriz_Riesgos[[#This Row],[I_base (AUX)]]=""),"",MAX(0,Matriz_Riesgos[[#This Row],[Tope I (AUX)]]-Matriz_Riesgos[[#This Row],[I_base (AUX)]]))</f>
        <v>0</v>
      </c>
      <c r="BG9" s="112">
        <f>IF(OR(Matriz_Riesgos[[#This Row],[Suma Residual redondeada (AUX)]]="",Matriz_Riesgos[[#This Row],[F_base (AUX)]]="",Matriz_Riesgos[[#This Row],[I_base (AUX)]]=""),"",MAX(0,Matriz_Riesgos[[#This Row],[Suma Residual redondeada (AUX)]]-(Matriz_Riesgos[[#This Row],[F_base (AUX)]]+Matriz_Riesgos[[#This Row],[I_base (AUX)]])))</f>
        <v>0</v>
      </c>
      <c r="BH9"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9"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9" s="112">
        <f>IF(OR(Matriz_Riesgos[[#This Row],[Resto (AUX)]]="",Matriz_Riesgos[[#This Row],[Capacidad F (AUX)]]="",Matriz_Riesgos[[#This Row],[Inc_I (AUX)]]=""),"",MIN(Matriz_Riesgos[[#This Row],[Capacidad F (AUX)]], MAX(0,Matriz_Riesgos[[#This Row],[Resto (AUX)]]-Matriz_Riesgos[[#This Row],[Inc_I (AUX)]])))</f>
        <v>0</v>
      </c>
      <c r="BK9" s="112">
        <f>IFERROR(MAX(ROUND(Matriz_Riesgos[[#This Row],[Frecuencia Residual (AUX)]]+Matriz_Riesgos[[#This Row],[Impacto Residual (AUX)]]-1+Matriz_Riesgos[[#This Row],[Efectividad Total Ponderada de los Controles]],0),1),"")</f>
        <v>7</v>
      </c>
      <c r="BL9" s="112">
        <f>IFERROR(Matriz_Riesgos[[#This Row],[Valor del Riesgo Residual]]-Matriz_Riesgos[[#This Row],[Valor del Riesgo Residual (AUX)]],"")</f>
        <v>0</v>
      </c>
      <c r="BM9" s="112">
        <f>IFERROR(Matriz_Riesgos[[#This Row],[Frecuencia Residual]]+Matriz_Riesgos[[#This Row],[Impacto Residual]]-1,"")</f>
        <v>7</v>
      </c>
      <c r="BN9" s="112">
        <f>IFERROR(Matriz_Riesgos[[#This Row],[Valor del Riesgo Residual]]-Matriz_Riesgos[[#This Row],[VRR 2]],"")</f>
        <v>0</v>
      </c>
      <c r="BO9" s="112">
        <f>IFERROR(Matriz_Riesgos[[#This Row],[Frecuencia]]-Matriz_Riesgos[[#This Row],[Frecuencia Residual]],"")</f>
        <v>0</v>
      </c>
      <c r="BP9" s="112">
        <f>IFERROR(Matriz_Riesgos[[#This Row],[Impacto]]-Matriz_Riesgos[[#This Row],[Impacto Residual]],"")</f>
        <v>0</v>
      </c>
      <c r="BQ9" s="112">
        <f>IFERROR(Matriz_Riesgos[[#This Row],[Valor del Riesgo Inherente]]-Matriz_Riesgos[[#This Row],[Valor del Riesgo Residual]],"")</f>
        <v>0</v>
      </c>
      <c r="BR9" s="4"/>
      <c r="BS9" s="4"/>
      <c r="BT9" s="4"/>
      <c r="BU9" s="4"/>
      <c r="BV9" s="4"/>
      <c r="BW9" s="4"/>
      <c r="BX9" s="4"/>
      <c r="BY9" s="4"/>
      <c r="BZ9" s="4"/>
      <c r="CA9" s="4"/>
      <c r="CB9" s="4"/>
      <c r="CC9" s="4"/>
      <c r="CD9" s="4"/>
    </row>
    <row r="10" spans="1:75" s="113" customFormat="1" ht="168">
      <c r="A10" s="114">
        <v>9</v>
      </c>
      <c r="B10" s="102" t="inlineStr">
        <is>
          <t>ROTR-TESO-9</t>
        </is>
      </c>
      <c r="C10" s="103" t="s">
        <v>266</v>
      </c>
      <c r="D10" s="104"/>
      <c r="E10" s="104" t="s">
        <v>186</v>
      </c>
      <c r="F10" s="103" t="s">
        <v>267</v>
      </c>
      <c r="G10" s="105"/>
      <c r="H10" s="103" t="s">
        <v>268</v>
      </c>
      <c r="I10" s="144" t="s">
        <v>269</v>
      </c>
      <c r="J10" s="104">
        <v>3</v>
      </c>
      <c r="K10" s="104">
        <v>5</v>
      </c>
      <c r="L10" s="102">
        <f>IF((Matriz_Riesgos[[#This Row],[Frecuencia]]+Matriz_Riesgos[[#This Row],[Impacto]]-1)=-1,"",Matriz_Riesgos[[#This Row],[Frecuencia]]+Matriz_Riesgos[[#This Row],[Impacto]]-1)</f>
        <v>7</v>
      </c>
      <c r="M10" s="102" t="str">
        <f>IFERROR(VLOOKUP(Matriz_Riesgos[[#This Row],[Valor del Riesgo Inherente]],t_nivel_riesgo[],2,FALSE), "")</f>
        <v>Riesgo Alto</v>
      </c>
      <c r="N10" s="103" t="s">
        <v>270</v>
      </c>
      <c r="O10" s="104" t="s">
        <v>190</v>
      </c>
      <c r="P10" s="103" t="s">
        <v>246</v>
      </c>
      <c r="Q10" s="106"/>
      <c r="R10" s="106"/>
      <c r="S10" s="106"/>
      <c r="T10" s="107" t="s">
        <v>271</v>
      </c>
      <c r="U10" s="108"/>
      <c r="V10" s="109"/>
      <c r="W10" s="110"/>
      <c r="X10" s="107" t="s">
        <v>272</v>
      </c>
      <c r="Y10" s="108"/>
      <c r="Z10" s="102"/>
      <c r="AA10" s="110"/>
      <c r="AB10" s="107" t="s">
        <v>273</v>
      </c>
      <c r="AC10" s="108"/>
      <c r="AD10" s="109"/>
      <c r="AE10" s="110"/>
      <c r="AF10" s="104"/>
      <c r="AG10" s="111">
        <f>IF(AND(T10="",X10="",AB10=""),"",('Otras Tablas'!$B$3*IF(W10="",0,W10)+'Otras Tablas'!$B$4*IF(AA10="",0,AA10)+'Otras Tablas'!$B$5*IF(AE10="",0,AE10)))</f>
      </c>
      <c r="AH10" s="102" t="str">
        <f>IF(Matriz_Riesgos[[#This Row],[Riesgo Inherente]]="","",Matriz_Riesgos[[#This Row],[Riesgo Inherente]])</f>
        <v>Desembolso de recursos cuando se modifica la cuenta bancaria sin validación robusta, se registran cuentas falsas en el sistema, existe suplantación de beneficiario o proveedor o se realizan pagos a terceros no autorizados.</v>
      </c>
      <c r="AI10"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10"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10" s="102">
        <f>IFERROR(ROUND(MAX(1,Matriz_Riesgos[[#This Row],[Valor del Riesgo Inherente]]*(1 - Matriz_Riesgos[[#This Row],[Efectividad Total Ponderada de los Controles]])),0), "")</f>
        <v>7</v>
      </c>
      <c r="AL10" s="102" t="str">
        <f>IFERROR(VLOOKUP(Matriz_Riesgos[[#This Row],[Valor del Riesgo Residual]],t_nivel_riesgo[],2,FALSE),"")</f>
        <v>Riesgo Alto</v>
      </c>
      <c r="AM10" s="104" t="s">
        <v>197</v>
      </c>
      <c r="AN10" s="105"/>
      <c r="AO10" s="103"/>
      <c r="AP10" s="103"/>
      <c r="AQ10" s="103"/>
      <c r="AR10" s="103"/>
      <c r="AS10" s="103"/>
      <c r="AT10" s="103"/>
      <c r="AU10" s="103"/>
      <c r="AV10" s="103"/>
      <c r="AW10" s="103"/>
      <c r="AX10" s="112">
        <f>IFERROR((1-Matriz_Riesgos[[#This Row],[Efectividad Total Ponderada de los Controles]])*Matriz_Riesgos[[#This Row],[Frecuencia]],"")</f>
        <v>3</v>
      </c>
      <c r="AY10" s="112">
        <f>IFERROR((1-Matriz_Riesgos[[#This Row],[Efectividad Total Ponderada de los Controles]])*Matriz_Riesgos[[#This Row],[Impacto]],"")</f>
        <v>5</v>
      </c>
      <c r="AZ10" s="112">
        <f>IFERROR(Matriz_Riesgos[[#This Row],[Valor del Riesgo Residual]] + 1, "")</f>
        <v>8</v>
      </c>
      <c r="BA10" s="112">
        <f>IFERROR(MAX(1, ROUNDDOWN(Matriz_Riesgos[[#This Row],[Frecuencia Residual (AUX)]],0)),"")</f>
        <v>3</v>
      </c>
      <c r="BB10" s="112">
        <f>IFERROR(MAX(1, ROUNDDOWN(Matriz_Riesgos[[#This Row],[Impacto Residual (AUX)]],0)),"")</f>
        <v>5</v>
      </c>
      <c r="BC10" s="112">
        <f>IF(Matriz_Riesgos[[#This Row],[Frecuencia]]="","",Matriz_Riesgos[[#This Row],[Frecuencia]])</f>
        <v>3</v>
      </c>
      <c r="BD10" s="112">
        <f>IF(Matriz_Riesgos[[#This Row],[Impacto]]="","",Matriz_Riesgos[[#This Row],[Impacto]])</f>
        <v>5</v>
      </c>
      <c r="BE10" s="112">
        <f>IF(OR(Matriz_Riesgos[[#This Row],[Tope F (AUX)]]="",Matriz_Riesgos[[#This Row],[F_base (AUX)]]=""),"",MAX(0,Matriz_Riesgos[[#This Row],[Tope F (AUX)]]-Matriz_Riesgos[[#This Row],[F_base (AUX)]]))</f>
        <v>0</v>
      </c>
      <c r="BF10" s="112">
        <f>IF(OR(Matriz_Riesgos[[#This Row],[Tope I (AUX)]]="",Matriz_Riesgos[[#This Row],[I_base (AUX)]]=""),"",MAX(0,Matriz_Riesgos[[#This Row],[Tope I (AUX)]]-Matriz_Riesgos[[#This Row],[I_base (AUX)]]))</f>
        <v>0</v>
      </c>
      <c r="BG10" s="112">
        <f>IF(OR(Matriz_Riesgos[[#This Row],[Suma Residual redondeada (AUX)]]="",Matriz_Riesgos[[#This Row],[F_base (AUX)]]="",Matriz_Riesgos[[#This Row],[I_base (AUX)]]=""),"",MAX(0,Matriz_Riesgos[[#This Row],[Suma Residual redondeada (AUX)]]-(Matriz_Riesgos[[#This Row],[F_base (AUX)]]+Matriz_Riesgos[[#This Row],[I_base (AUX)]])))</f>
        <v>0</v>
      </c>
      <c r="BH10"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10"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10" s="112">
        <f>IF(OR(Matriz_Riesgos[[#This Row],[Resto (AUX)]]="",Matriz_Riesgos[[#This Row],[Capacidad F (AUX)]]="",Matriz_Riesgos[[#This Row],[Inc_I (AUX)]]=""),"",MIN(Matriz_Riesgos[[#This Row],[Capacidad F (AUX)]], MAX(0,Matriz_Riesgos[[#This Row],[Resto (AUX)]]-Matriz_Riesgos[[#This Row],[Inc_I (AUX)]])))</f>
        <v>0</v>
      </c>
      <c r="BK10" s="112">
        <f>IFERROR(MAX(ROUND(Matriz_Riesgos[[#This Row],[Frecuencia Residual (AUX)]]+Matriz_Riesgos[[#This Row],[Impacto Residual (AUX)]]-1+Matriz_Riesgos[[#This Row],[Efectividad Total Ponderada de los Controles]],0),1),"")</f>
        <v>7</v>
      </c>
      <c r="BL10" s="112">
        <f>IFERROR(Matriz_Riesgos[[#This Row],[Valor del Riesgo Residual]]-Matriz_Riesgos[[#This Row],[Valor del Riesgo Residual (AUX)]],"")</f>
        <v>0</v>
      </c>
      <c r="BM10" s="112">
        <f>IFERROR(Matriz_Riesgos[[#This Row],[Frecuencia Residual]]+Matriz_Riesgos[[#This Row],[Impacto Residual]]-1,"")</f>
        <v>7</v>
      </c>
      <c r="BN10" s="112">
        <f>IFERROR(Matriz_Riesgos[[#This Row],[Valor del Riesgo Residual]]-Matriz_Riesgos[[#This Row],[VRR 2]],"")</f>
        <v>0</v>
      </c>
      <c r="BO10" s="112">
        <f>IFERROR(Matriz_Riesgos[[#This Row],[Frecuencia]]-Matriz_Riesgos[[#This Row],[Frecuencia Residual]],"")</f>
        <v>0</v>
      </c>
      <c r="BP10" s="112">
        <f>IFERROR(Matriz_Riesgos[[#This Row],[Impacto]]-Matriz_Riesgos[[#This Row],[Impacto Residual]],"")</f>
        <v>0</v>
      </c>
      <c r="BQ10" s="112">
        <f>IFERROR(Matriz_Riesgos[[#This Row],[Valor del Riesgo Inherente]]-Matriz_Riesgos[[#This Row],[Valor del Riesgo Residual]],"")</f>
        <v>0</v>
      </c>
      <c r="BR10" s="4"/>
      <c r="BS10" s="4"/>
      <c r="BT10" s="4"/>
      <c r="BU10" s="4"/>
      <c r="BV10" s="4"/>
      <c r="BW10" s="4"/>
      <c r="BX10" s="4"/>
      <c r="BY10" s="4"/>
      <c r="BZ10" s="4"/>
      <c r="CA10" s="4"/>
      <c r="CB10" s="4"/>
      <c r="CC10" s="4"/>
      <c r="CD10" s="4"/>
    </row>
    <row r="11" spans="1:75" s="113" customFormat="1" ht="180">
      <c r="A11" s="114">
        <v>10</v>
      </c>
      <c r="B11" s="102" t="inlineStr">
        <is>
          <t>ROTR-PENS-10</t>
        </is>
      </c>
      <c r="C11" s="103" t="s">
        <v>214</v>
      </c>
      <c r="D11" s="104"/>
      <c r="E11" s="104" t="s">
        <v>186</v>
      </c>
      <c r="F11" s="103" t="s">
        <v>274</v>
      </c>
      <c r="G11" s="105"/>
      <c r="H11" s="103" t="s">
        <v>275</v>
      </c>
      <c r="I11" s="144" t="s">
        <v>276</v>
      </c>
      <c r="J11" s="104">
        <v>3</v>
      </c>
      <c r="K11" s="104">
        <v>5</v>
      </c>
      <c r="L11" s="102">
        <f>IF((Matriz_Riesgos[[#This Row],[Frecuencia]]+Matriz_Riesgos[[#This Row],[Impacto]]-1)=-1,"",Matriz_Riesgos[[#This Row],[Frecuencia]]+Matriz_Riesgos[[#This Row],[Impacto]]-1)</f>
        <v>7</v>
      </c>
      <c r="M11" s="102" t="str">
        <f>IFERROR(VLOOKUP(Matriz_Riesgos[[#This Row],[Valor del Riesgo Inherente]],t_nivel_riesgo[],2,FALSE), "")</f>
        <v>Riesgo Alto</v>
      </c>
      <c r="N11" s="103" t="s">
        <v>277</v>
      </c>
      <c r="O11" s="104" t="s">
        <v>218</v>
      </c>
      <c r="P11" s="103" t="s">
        <v>278</v>
      </c>
      <c r="Q11" s="106"/>
      <c r="R11" s="106"/>
      <c r="S11" s="106"/>
      <c r="T11" s="107" t="s">
        <v>279</v>
      </c>
      <c r="U11" s="108"/>
      <c r="V11" s="109"/>
      <c r="W11" s="110"/>
      <c r="X11" s="107" t="s">
        <v>280</v>
      </c>
      <c r="Y11" s="108"/>
      <c r="Z11" s="102"/>
      <c r="AA11" s="110"/>
      <c r="AB11" s="107" t="s">
        <v>281</v>
      </c>
      <c r="AC11" s="108"/>
      <c r="AD11" s="109"/>
      <c r="AE11" s="110"/>
      <c r="AF11" s="104"/>
      <c r="AG11" s="111">
        <f>IF(AND(T11="",X11="",AB11=""),"",('Otras Tablas'!$B$3*IF(W11="",0,W11)+'Otras Tablas'!$B$4*IF(AA11="",0,AA11)+'Otras Tablas'!$B$5*IF(AE11="",0,AE11)))</f>
      </c>
      <c r="AH11" s="102" t="str">
        <f>IF(Matriz_Riesgos[[#This Row],[Riesgo Inherente]]="","",Matriz_Riesgos[[#This Row],[Riesgo Inherente]])</f>
        <v>Reconocimiento o pago de pension por viudez o ascendencia a quien no acredita vínculo válido, pensión de orfandad sin cumplir requisitos de edad o dependencia o representantes que cobran sin legitimación.</v>
      </c>
      <c r="AI11"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11"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11" s="102">
        <f>IFERROR(ROUND(MAX(1,Matriz_Riesgos[[#This Row],[Valor del Riesgo Inherente]]*(1 - Matriz_Riesgos[[#This Row],[Efectividad Total Ponderada de los Controles]])),0), "")</f>
        <v>7</v>
      </c>
      <c r="AL11" s="102" t="str">
        <f>IFERROR(VLOOKUP(Matriz_Riesgos[[#This Row],[Valor del Riesgo Residual]],t_nivel_riesgo[],2,FALSE),"")</f>
        <v>Riesgo Alto</v>
      </c>
      <c r="AM11" s="104" t="s">
        <v>197</v>
      </c>
      <c r="AN11" s="105"/>
      <c r="AO11" s="103"/>
      <c r="AP11" s="103"/>
      <c r="AQ11" s="103"/>
      <c r="AR11" s="103"/>
      <c r="AS11" s="103"/>
      <c r="AT11" s="103"/>
      <c r="AU11" s="103"/>
      <c r="AV11" s="103"/>
      <c r="AW11" s="103"/>
      <c r="AX11" s="112">
        <f>IFERROR((1-Matriz_Riesgos[[#This Row],[Efectividad Total Ponderada de los Controles]])*Matriz_Riesgos[[#This Row],[Frecuencia]],"")</f>
        <v>3</v>
      </c>
      <c r="AY11" s="112">
        <f>IFERROR((1-Matriz_Riesgos[[#This Row],[Efectividad Total Ponderada de los Controles]])*Matriz_Riesgos[[#This Row],[Impacto]],"")</f>
        <v>5</v>
      </c>
      <c r="AZ11" s="112">
        <f>IFERROR(Matriz_Riesgos[[#This Row],[Valor del Riesgo Residual]] + 1, "")</f>
        <v>8</v>
      </c>
      <c r="BA11" s="112">
        <f>IFERROR(MAX(1, ROUNDDOWN(Matriz_Riesgos[[#This Row],[Frecuencia Residual (AUX)]],0)),"")</f>
        <v>3</v>
      </c>
      <c r="BB11" s="112">
        <f>IFERROR(MAX(1, ROUNDDOWN(Matriz_Riesgos[[#This Row],[Impacto Residual (AUX)]],0)),"")</f>
        <v>5</v>
      </c>
      <c r="BC11" s="112">
        <f>IF(Matriz_Riesgos[[#This Row],[Frecuencia]]="","",Matriz_Riesgos[[#This Row],[Frecuencia]])</f>
        <v>3</v>
      </c>
      <c r="BD11" s="112">
        <f>IF(Matriz_Riesgos[[#This Row],[Impacto]]="","",Matriz_Riesgos[[#This Row],[Impacto]])</f>
        <v>5</v>
      </c>
      <c r="BE11" s="112">
        <f>IF(OR(Matriz_Riesgos[[#This Row],[Tope F (AUX)]]="",Matriz_Riesgos[[#This Row],[F_base (AUX)]]=""),"",MAX(0,Matriz_Riesgos[[#This Row],[Tope F (AUX)]]-Matriz_Riesgos[[#This Row],[F_base (AUX)]]))</f>
        <v>0</v>
      </c>
      <c r="BF11" s="112">
        <f>IF(OR(Matriz_Riesgos[[#This Row],[Tope I (AUX)]]="",Matriz_Riesgos[[#This Row],[I_base (AUX)]]=""),"",MAX(0,Matriz_Riesgos[[#This Row],[Tope I (AUX)]]-Matriz_Riesgos[[#This Row],[I_base (AUX)]]))</f>
        <v>0</v>
      </c>
      <c r="BG11" s="112">
        <f>IF(OR(Matriz_Riesgos[[#This Row],[Suma Residual redondeada (AUX)]]="",Matriz_Riesgos[[#This Row],[F_base (AUX)]]="",Matriz_Riesgos[[#This Row],[I_base (AUX)]]=""),"",MAX(0,Matriz_Riesgos[[#This Row],[Suma Residual redondeada (AUX)]]-(Matriz_Riesgos[[#This Row],[F_base (AUX)]]+Matriz_Riesgos[[#This Row],[I_base (AUX)]])))</f>
        <v>0</v>
      </c>
      <c r="BH11"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11"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11" s="112">
        <f>IF(OR(Matriz_Riesgos[[#This Row],[Resto (AUX)]]="",Matriz_Riesgos[[#This Row],[Capacidad F (AUX)]]="",Matriz_Riesgos[[#This Row],[Inc_I (AUX)]]=""),"",MIN(Matriz_Riesgos[[#This Row],[Capacidad F (AUX)]], MAX(0,Matriz_Riesgos[[#This Row],[Resto (AUX)]]-Matriz_Riesgos[[#This Row],[Inc_I (AUX)]])))</f>
        <v>0</v>
      </c>
      <c r="BK11" s="112">
        <f>IFERROR(MAX(ROUND(Matriz_Riesgos[[#This Row],[Frecuencia Residual (AUX)]]+Matriz_Riesgos[[#This Row],[Impacto Residual (AUX)]]-1+Matriz_Riesgos[[#This Row],[Efectividad Total Ponderada de los Controles]],0),1),"")</f>
        <v>7</v>
      </c>
      <c r="BL11" s="112">
        <f>IFERROR(Matriz_Riesgos[[#This Row],[Valor del Riesgo Residual]]-Matriz_Riesgos[[#This Row],[Valor del Riesgo Residual (AUX)]],"")</f>
        <v>0</v>
      </c>
      <c r="BM11" s="112">
        <f>IFERROR(Matriz_Riesgos[[#This Row],[Frecuencia Residual]]+Matriz_Riesgos[[#This Row],[Impacto Residual]]-1,"")</f>
        <v>7</v>
      </c>
      <c r="BN11" s="112">
        <f>IFERROR(Matriz_Riesgos[[#This Row],[Valor del Riesgo Residual]]-Matriz_Riesgos[[#This Row],[VRR 2]],"")</f>
        <v>0</v>
      </c>
      <c r="BO11" s="112">
        <f>IFERROR(Matriz_Riesgos[[#This Row],[Frecuencia]]-Matriz_Riesgos[[#This Row],[Frecuencia Residual]],"")</f>
        <v>0</v>
      </c>
      <c r="BP11" s="112">
        <f>IFERROR(Matriz_Riesgos[[#This Row],[Impacto]]-Matriz_Riesgos[[#This Row],[Impacto Residual]],"")</f>
        <v>0</v>
      </c>
      <c r="BQ11" s="112">
        <f>IFERROR(Matriz_Riesgos[[#This Row],[Valor del Riesgo Inherente]]-Matriz_Riesgos[[#This Row],[Valor del Riesgo Residual]],"")</f>
        <v>0</v>
      </c>
      <c r="BR11" s="4"/>
      <c r="BS11" s="4"/>
      <c r="BT11" s="4"/>
      <c r="BU11" s="4"/>
      <c r="BV11" s="4"/>
      <c r="BW11" s="4"/>
      <c r="BX11" s="4"/>
      <c r="BY11" s="4"/>
      <c r="BZ11" s="4"/>
      <c r="CA11" s="4"/>
      <c r="CB11" s="4"/>
      <c r="CC11" s="4"/>
      <c r="CD11" s="4"/>
    </row>
    <row r="12" spans="1:75" s="140" customFormat="1" ht="120" customHeight="1">
      <c r="A12" s="149">
        <v>11</v>
      </c>
      <c r="B12" s="129" t="inlineStr">
        <is>
          <t>ROTR-TESO-11</t>
        </is>
      </c>
      <c r="C12" s="130" t="s">
        <v>266</v>
      </c>
      <c r="D12" s="131"/>
      <c r="E12" s="131" t="s">
        <v>186</v>
      </c>
      <c r="F12" s="130" t="s">
        <v>282</v>
      </c>
      <c r="G12" s="132"/>
      <c r="H12" s="130" t="s">
        <v>283</v>
      </c>
      <c r="I12" s="146" t="s">
        <v>284</v>
      </c>
      <c r="J12" s="131">
        <v>2</v>
      </c>
      <c r="K12" s="131">
        <v>5</v>
      </c>
      <c r="L12" s="129">
        <f>IF((Matriz_Riesgos[[#This Row],[Frecuencia]]+Matriz_Riesgos[[#This Row],[Impacto]]-1)=-1,"",Matriz_Riesgos[[#This Row],[Frecuencia]]+Matriz_Riesgos[[#This Row],[Impacto]]-1)</f>
        <v>6</v>
      </c>
      <c r="M12" s="129" t="str">
        <f>IFERROR(VLOOKUP(Matriz_Riesgos[[#This Row],[Valor del Riesgo Inherente]],t_nivel_riesgo[],2,FALSE), "")</f>
        <v>Riesgo Alto</v>
      </c>
      <c r="N12" s="130" t="s">
        <v>266</v>
      </c>
      <c r="O12" s="131"/>
      <c r="P12" s="130" t="s">
        <v>285</v>
      </c>
      <c r="Q12" s="133"/>
      <c r="R12" s="133"/>
      <c r="S12" s="133"/>
      <c r="T12" s="134" t="s">
        <v>286</v>
      </c>
      <c r="U12" s="141"/>
      <c r="V12" s="142"/>
      <c r="W12" s="143"/>
      <c r="X12" s="130"/>
      <c r="Y12" s="141"/>
      <c r="Z12" s="129"/>
      <c r="AA12" s="143"/>
      <c r="AB12" s="130"/>
      <c r="AC12" s="141"/>
      <c r="AD12" s="142"/>
      <c r="AE12" s="143"/>
      <c r="AF12" s="131"/>
      <c r="AG12" s="137">
        <f>IF(AND(T12="",X12="",AB12=""),"",('Otras Tablas'!$B$3*IF(W12="",0,W12)+'Otras Tablas'!$B$4*IF(AA12="",0,AA12)+'Otras Tablas'!$B$5*IF(AE12="",0,AE12)))</f>
      </c>
      <c r="AH12" s="102" t="str">
        <f>IF(Matriz_Riesgos[[#This Row],[Riesgo Inherente]]="","",Matriz_Riesgos[[#This Row],[Riesgo Inherente]])</f>
        <v>Transferencias a zonas de alto riesgo</v>
      </c>
      <c r="AI12"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2</v>
      </c>
      <c r="AJ12"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12" s="102">
        <f>IFERROR(ROUND(MAX(1,Matriz_Riesgos[[#This Row],[Valor del Riesgo Inherente]]*(1 - Matriz_Riesgos[[#This Row],[Efectividad Total Ponderada de los Controles]])),0), "")</f>
        <v>6</v>
      </c>
      <c r="AL12" s="102" t="str">
        <f>IFERROR(VLOOKUP(Matriz_Riesgos[[#This Row],[Valor del Riesgo Residual]],t_nivel_riesgo[],2,FALSE),"")</f>
        <v>Riesgo Alto</v>
      </c>
      <c r="AM12" s="131" t="s">
        <v>197</v>
      </c>
      <c r="AN12" s="132"/>
      <c r="AO12" s="130"/>
      <c r="AP12" s="130"/>
      <c r="AQ12" s="130"/>
      <c r="AR12" s="130"/>
      <c r="AS12" s="130"/>
      <c r="AT12" s="130"/>
      <c r="AU12" s="130"/>
      <c r="AV12" s="130"/>
      <c r="AW12" s="130"/>
      <c r="AX12" s="139">
        <f>IFERROR((1-Matriz_Riesgos[[#This Row],[Efectividad Total Ponderada de los Controles]])*Matriz_Riesgos[[#This Row],[Frecuencia]],"")</f>
        <v>2</v>
      </c>
      <c r="AY12" s="139">
        <f>IFERROR((1-Matriz_Riesgos[[#This Row],[Efectividad Total Ponderada de los Controles]])*Matriz_Riesgos[[#This Row],[Impacto]],"")</f>
        <v>5</v>
      </c>
      <c r="AZ12" s="139">
        <f>IFERROR(Matriz_Riesgos[[#This Row],[Valor del Riesgo Residual]] + 1, "")</f>
        <v>7</v>
      </c>
      <c r="BA12" s="139">
        <f>IFERROR(MAX(1, ROUNDDOWN(Matriz_Riesgos[[#This Row],[Frecuencia Residual (AUX)]],0)),"")</f>
        <v>2</v>
      </c>
      <c r="BB12" s="139">
        <f>IFERROR(MAX(1, ROUNDDOWN(Matriz_Riesgos[[#This Row],[Impacto Residual (AUX)]],0)),"")</f>
        <v>5</v>
      </c>
      <c r="BC12" s="139">
        <f>IF(Matriz_Riesgos[[#This Row],[Frecuencia]]="","",Matriz_Riesgos[[#This Row],[Frecuencia]])</f>
        <v>2</v>
      </c>
      <c r="BD12" s="139">
        <f>IF(Matriz_Riesgos[[#This Row],[Impacto]]="","",Matriz_Riesgos[[#This Row],[Impacto]])</f>
        <v>5</v>
      </c>
      <c r="BE12" s="139">
        <f>IF(OR(Matriz_Riesgos[[#This Row],[Tope F (AUX)]]="",Matriz_Riesgos[[#This Row],[F_base (AUX)]]=""),"",MAX(0,Matriz_Riesgos[[#This Row],[Tope F (AUX)]]-Matriz_Riesgos[[#This Row],[F_base (AUX)]]))</f>
        <v>0</v>
      </c>
      <c r="BF12" s="139">
        <f>IF(OR(Matriz_Riesgos[[#This Row],[Tope I (AUX)]]="",Matriz_Riesgos[[#This Row],[I_base (AUX)]]=""),"",MAX(0,Matriz_Riesgos[[#This Row],[Tope I (AUX)]]-Matriz_Riesgos[[#This Row],[I_base (AUX)]]))</f>
        <v>0</v>
      </c>
      <c r="BG12" s="139">
        <f>IF(OR(Matriz_Riesgos[[#This Row],[Suma Residual redondeada (AUX)]]="",Matriz_Riesgos[[#This Row],[F_base (AUX)]]="",Matriz_Riesgos[[#This Row],[I_base (AUX)]]=""),"",MAX(0,Matriz_Riesgos[[#This Row],[Suma Residual redondeada (AUX)]]-(Matriz_Riesgos[[#This Row],[F_base (AUX)]]+Matriz_Riesgos[[#This Row],[I_base (AUX)]])))</f>
        <v>0</v>
      </c>
      <c r="BH12" s="139">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12" s="139">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12" s="139">
        <f>IF(OR(Matriz_Riesgos[[#This Row],[Resto (AUX)]]="",Matriz_Riesgos[[#This Row],[Capacidad F (AUX)]]="",Matriz_Riesgos[[#This Row],[Inc_I (AUX)]]=""),"",MIN(Matriz_Riesgos[[#This Row],[Capacidad F (AUX)]], MAX(0,Matriz_Riesgos[[#This Row],[Resto (AUX)]]-Matriz_Riesgos[[#This Row],[Inc_I (AUX)]])))</f>
        <v>0</v>
      </c>
      <c r="BK12" s="139">
        <f>IFERROR(MAX(ROUND(Matriz_Riesgos[[#This Row],[Frecuencia Residual (AUX)]]+Matriz_Riesgos[[#This Row],[Impacto Residual (AUX)]]-1+Matriz_Riesgos[[#This Row],[Efectividad Total Ponderada de los Controles]],0),1),"")</f>
        <v>6</v>
      </c>
      <c r="BL12" s="139">
        <f>IFERROR(Matriz_Riesgos[[#This Row],[Valor del Riesgo Residual]]-Matriz_Riesgos[[#This Row],[Valor del Riesgo Residual (AUX)]],"")</f>
        <v>0</v>
      </c>
      <c r="BM12" s="139">
        <f>IFERROR(Matriz_Riesgos[[#This Row],[Frecuencia Residual]]+Matriz_Riesgos[[#This Row],[Impacto Residual]]-1,"")</f>
        <v>6</v>
      </c>
      <c r="BN12" s="139">
        <f>IFERROR(Matriz_Riesgos[[#This Row],[Valor del Riesgo Residual]]-Matriz_Riesgos[[#This Row],[VRR 2]],"")</f>
        <v>0</v>
      </c>
      <c r="BO12" s="139">
        <f>IFERROR(Matriz_Riesgos[[#This Row],[Frecuencia]]-Matriz_Riesgos[[#This Row],[Frecuencia Residual]],"")</f>
        <v>0</v>
      </c>
      <c r="BP12" s="139">
        <f>IFERROR(Matriz_Riesgos[[#This Row],[Impacto]]-Matriz_Riesgos[[#This Row],[Impacto Residual]],"")</f>
        <v>0</v>
      </c>
      <c r="BQ12" s="139">
        <f>IFERROR(Matriz_Riesgos[[#This Row],[Valor del Riesgo Inherente]]-Matriz_Riesgos[[#This Row],[Valor del Riesgo Residual]],"")</f>
        <v>0</v>
      </c>
      <c r="BR12" s="130"/>
      <c r="BS12" s="130"/>
      <c r="BT12" s="130"/>
      <c r="BU12" s="130"/>
      <c r="BV12" s="130"/>
      <c r="BW12" s="130"/>
      <c r="BX12" s="130"/>
      <c r="BY12" s="130"/>
      <c r="BZ12" s="130"/>
      <c r="CA12" s="130"/>
      <c r="CB12" s="130"/>
      <c r="CC12" s="130"/>
      <c r="CD12" s="130"/>
    </row>
    <row r="13" spans="1:75" s="113" customFormat="1" ht="204">
      <c r="A13" s="118">
        <v>12</v>
      </c>
      <c r="B13" s="102" t="inlineStr">
        <is>
          <t>ROTR-PATRONAL-12</t>
        </is>
      </c>
      <c r="C13" s="103" t="s">
        <v>287</v>
      </c>
      <c r="D13" s="104"/>
      <c r="E13" s="104" t="s">
        <v>186</v>
      </c>
      <c r="F13" s="103" t="s">
        <v>288</v>
      </c>
      <c r="G13" s="105"/>
      <c r="H13" s="119" t="s">
        <v>289</v>
      </c>
      <c r="I13" s="144" t="s">
        <v>290</v>
      </c>
      <c r="J13" s="104">
        <v>3</v>
      </c>
      <c r="K13" s="104">
        <v>5</v>
      </c>
      <c r="L13" s="102">
        <f>IF((Matriz_Riesgos[[#This Row],[Frecuencia]]+Matriz_Riesgos[[#This Row],[Impacto]]-1)=-1,"",Matriz_Riesgos[[#This Row],[Frecuencia]]+Matriz_Riesgos[[#This Row],[Impacto]]-1)</f>
        <v>7</v>
      </c>
      <c r="M13" s="102" t="str">
        <f>IFERROR(VLOOKUP(Matriz_Riesgos[[#This Row],[Valor del Riesgo Inherente]],t_nivel_riesgo[],2,FALSE), "")</f>
        <v>Riesgo Alto</v>
      </c>
      <c r="N13" s="103" t="s">
        <v>291</v>
      </c>
      <c r="O13" s="104"/>
      <c r="P13" s="103" t="s">
        <v>292</v>
      </c>
      <c r="Q13" s="106"/>
      <c r="R13" s="106"/>
      <c r="S13" s="106"/>
      <c r="T13" s="107" t="s">
        <v>293</v>
      </c>
      <c r="U13" s="108"/>
      <c r="V13" s="109"/>
      <c r="W13" s="110"/>
      <c r="X13" s="107" t="s">
        <v>294</v>
      </c>
      <c r="Y13" s="108"/>
      <c r="Z13" s="102"/>
      <c r="AA13" s="110"/>
      <c r="AB13" s="107" t="s">
        <v>295</v>
      </c>
      <c r="AC13" s="108"/>
      <c r="AD13" s="109"/>
      <c r="AE13" s="110"/>
      <c r="AF13" s="104"/>
      <c r="AG13" s="111">
        <f>IF(AND(T13="",X13="",AB13=""),"",('Otras Tablas'!$B$3*IF(W13="",0,W13)+'Otras Tablas'!$B$4*IF(AA13="",0,AA13)+'Otras Tablas'!$B$5*IF(AE13="",0,AE13)))</f>
      </c>
      <c r="AH13" s="102" t="str">
        <f>IF(Matriz_Riesgos[[#This Row],[Riesgo Inherente]]="","",Matriz_Riesgos[[#This Row],[Riesgo Inherente]])</f>
        <v>Empresas afiliadas que no tiene operaciones reales, no cuenta con infraestructura, empleados o actividad verificable, declara planillas ficticias o presenta aportes mínimos previos a reconocimiento pensional o incapacidad.</v>
      </c>
      <c r="AI13"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13"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13" s="102">
        <f>IFERROR(ROUND(MAX(1,Matriz_Riesgos[[#This Row],[Valor del Riesgo Inherente]]*(1 - Matriz_Riesgos[[#This Row],[Efectividad Total Ponderada de los Controles]])),0), "")</f>
        <v>7</v>
      </c>
      <c r="AL13" s="102" t="str">
        <f>IFERROR(VLOOKUP(Matriz_Riesgos[[#This Row],[Valor del Riesgo Residual]],t_nivel_riesgo[],2,FALSE),"")</f>
        <v>Riesgo Alto</v>
      </c>
      <c r="AM13" s="104" t="s">
        <v>197</v>
      </c>
      <c r="AN13" s="105"/>
      <c r="AO13" s="103"/>
      <c r="AP13" s="103"/>
      <c r="AQ13" s="103"/>
      <c r="AR13" s="103"/>
      <c r="AS13" s="103"/>
      <c r="AT13" s="103"/>
      <c r="AU13" s="103"/>
      <c r="AV13" s="103"/>
      <c r="AW13" s="103"/>
      <c r="AX13" s="112">
        <f>IFERROR((1-Matriz_Riesgos[[#This Row],[Efectividad Total Ponderada de los Controles]])*Matriz_Riesgos[[#This Row],[Frecuencia]],"")</f>
        <v>3</v>
      </c>
      <c r="AY13" s="112">
        <f>IFERROR((1-Matriz_Riesgos[[#This Row],[Efectividad Total Ponderada de los Controles]])*Matriz_Riesgos[[#This Row],[Impacto]],"")</f>
        <v>5</v>
      </c>
      <c r="AZ13" s="112">
        <f>IFERROR(Matriz_Riesgos[[#This Row],[Valor del Riesgo Residual]] + 1, "")</f>
        <v>8</v>
      </c>
      <c r="BA13" s="112">
        <f>IFERROR(MAX(1, ROUNDDOWN(Matriz_Riesgos[[#This Row],[Frecuencia Residual (AUX)]],0)),"")</f>
        <v>3</v>
      </c>
      <c r="BB13" s="112">
        <f>IFERROR(MAX(1, ROUNDDOWN(Matriz_Riesgos[[#This Row],[Impacto Residual (AUX)]],0)),"")</f>
        <v>5</v>
      </c>
      <c r="BC13" s="112">
        <f>IF(Matriz_Riesgos[[#This Row],[Frecuencia]]="","",Matriz_Riesgos[[#This Row],[Frecuencia]])</f>
        <v>3</v>
      </c>
      <c r="BD13" s="112">
        <f>IF(Matriz_Riesgos[[#This Row],[Impacto]]="","",Matriz_Riesgos[[#This Row],[Impacto]])</f>
        <v>5</v>
      </c>
      <c r="BE13" s="112">
        <f>IF(OR(Matriz_Riesgos[[#This Row],[Tope F (AUX)]]="",Matriz_Riesgos[[#This Row],[F_base (AUX)]]=""),"",MAX(0,Matriz_Riesgos[[#This Row],[Tope F (AUX)]]-Matriz_Riesgos[[#This Row],[F_base (AUX)]]))</f>
        <v>0</v>
      </c>
      <c r="BF13" s="112">
        <f>IF(OR(Matriz_Riesgos[[#This Row],[Tope I (AUX)]]="",Matriz_Riesgos[[#This Row],[I_base (AUX)]]=""),"",MAX(0,Matriz_Riesgos[[#This Row],[Tope I (AUX)]]-Matriz_Riesgos[[#This Row],[I_base (AUX)]]))</f>
        <v>0</v>
      </c>
      <c r="BG13" s="112">
        <f>IF(OR(Matriz_Riesgos[[#This Row],[Suma Residual redondeada (AUX)]]="",Matriz_Riesgos[[#This Row],[F_base (AUX)]]="",Matriz_Riesgos[[#This Row],[I_base (AUX)]]=""),"",MAX(0,Matriz_Riesgos[[#This Row],[Suma Residual redondeada (AUX)]]-(Matriz_Riesgos[[#This Row],[F_base (AUX)]]+Matriz_Riesgos[[#This Row],[I_base (AUX)]])))</f>
        <v>0</v>
      </c>
      <c r="BH13"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13"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13" s="112">
        <f>IF(OR(Matriz_Riesgos[[#This Row],[Resto (AUX)]]="",Matriz_Riesgos[[#This Row],[Capacidad F (AUX)]]="",Matriz_Riesgos[[#This Row],[Inc_I (AUX)]]=""),"",MIN(Matriz_Riesgos[[#This Row],[Capacidad F (AUX)]], MAX(0,Matriz_Riesgos[[#This Row],[Resto (AUX)]]-Matriz_Riesgos[[#This Row],[Inc_I (AUX)]])))</f>
        <v>0</v>
      </c>
      <c r="BK13" s="112">
        <f>IFERROR(MAX(ROUND(Matriz_Riesgos[[#This Row],[Frecuencia Residual (AUX)]]+Matriz_Riesgos[[#This Row],[Impacto Residual (AUX)]]-1+Matriz_Riesgos[[#This Row],[Efectividad Total Ponderada de los Controles]],0),1),"")</f>
        <v>7</v>
      </c>
      <c r="BL13" s="112">
        <f>IFERROR(Matriz_Riesgos[[#This Row],[Valor del Riesgo Residual]]-Matriz_Riesgos[[#This Row],[Valor del Riesgo Residual (AUX)]],"")</f>
        <v>0</v>
      </c>
      <c r="BM13" s="112">
        <f>IFERROR(Matriz_Riesgos[[#This Row],[Frecuencia Residual]]+Matriz_Riesgos[[#This Row],[Impacto Residual]]-1,"")</f>
        <v>7</v>
      </c>
      <c r="BN13" s="112">
        <f>IFERROR(Matriz_Riesgos[[#This Row],[Valor del Riesgo Residual]]-Matriz_Riesgos[[#This Row],[VRR 2]],"")</f>
        <v>0</v>
      </c>
      <c r="BO13" s="112">
        <f>IFERROR(Matriz_Riesgos[[#This Row],[Frecuencia]]-Matriz_Riesgos[[#This Row],[Frecuencia Residual]],"")</f>
        <v>0</v>
      </c>
      <c r="BP13" s="112">
        <f>IFERROR(Matriz_Riesgos[[#This Row],[Impacto]]-Matriz_Riesgos[[#This Row],[Impacto Residual]],"")</f>
        <v>0</v>
      </c>
      <c r="BQ13" s="112">
        <f>IFERROR(Matriz_Riesgos[[#This Row],[Valor del Riesgo Inherente]]-Matriz_Riesgos[[#This Row],[Valor del Riesgo Residual]],"")</f>
        <v>0</v>
      </c>
      <c r="BR13" s="4"/>
      <c r="BS13" s="4"/>
      <c r="BT13" s="4"/>
      <c r="BU13" s="4"/>
      <c r="BV13" s="4"/>
      <c r="BW13" s="4"/>
      <c r="BX13" s="4"/>
      <c r="BY13" s="4"/>
      <c r="BZ13" s="4"/>
      <c r="CA13" s="4"/>
      <c r="CB13" s="4"/>
      <c r="CC13" s="4"/>
      <c r="CD13" s="4"/>
    </row>
    <row r="14" spans="1:75" s="113" customFormat="1" ht="168">
      <c r="A14" s="114">
        <v>13</v>
      </c>
      <c r="B14" s="102" t="inlineStr">
        <is>
          <t>ROTR-IVM-13</t>
        </is>
      </c>
      <c r="C14" s="103" t="s">
        <v>218</v>
      </c>
      <c r="D14" s="104"/>
      <c r="E14" s="104" t="s">
        <v>186</v>
      </c>
      <c r="F14" s="103" t="s">
        <v>296</v>
      </c>
      <c r="G14" s="105"/>
      <c r="H14" s="103" t="s">
        <v>297</v>
      </c>
      <c r="I14" s="144" t="s">
        <v>298</v>
      </c>
      <c r="J14" s="104">
        <v>3</v>
      </c>
      <c r="K14" s="104">
        <v>5</v>
      </c>
      <c r="L14" s="102">
        <f>IF((Matriz_Riesgos[[#This Row],[Frecuencia]]+Matriz_Riesgos[[#This Row],[Impacto]]-1)=-1,"",Matriz_Riesgos[[#This Row],[Frecuencia]]+Matriz_Riesgos[[#This Row],[Impacto]]-1)</f>
        <v>7</v>
      </c>
      <c r="M14" s="102" t="str">
        <f>IFERROR(VLOOKUP(Matriz_Riesgos[[#This Row],[Valor del Riesgo Inherente]],t_nivel_riesgo[],2,FALSE), "")</f>
        <v>Riesgo Alto</v>
      </c>
      <c r="N14" s="103" t="s">
        <v>218</v>
      </c>
      <c r="O14" s="104" t="s">
        <v>218</v>
      </c>
      <c r="P14" s="103" t="s">
        <v>299</v>
      </c>
      <c r="Q14" s="106"/>
      <c r="R14" s="106"/>
      <c r="S14" s="106"/>
      <c r="T14" s="107" t="s">
        <v>300</v>
      </c>
      <c r="U14" s="108"/>
      <c r="V14" s="109"/>
      <c r="W14" s="110"/>
      <c r="X14" s="107" t="s">
        <v>301</v>
      </c>
      <c r="Y14" s="108"/>
      <c r="Z14" s="102"/>
      <c r="AA14" s="110"/>
      <c r="AB14" s="107" t="s">
        <v>281</v>
      </c>
      <c r="AC14" s="108"/>
      <c r="AD14" s="109"/>
      <c r="AE14" s="110"/>
      <c r="AF14" s="104"/>
      <c r="AG14" s="111">
        <f>IF(AND(T14="",X14="",AB14=""),"",('Otras Tablas'!$B$3*IF(W14="",0,W14)+'Otras Tablas'!$B$4*IF(AA14="",0,AA14)+'Otras Tablas'!$B$5*IF(AE14="",0,AE14)))</f>
      </c>
      <c r="AH14" s="102" t="str">
        <f>IF(Matriz_Riesgos[[#This Row],[Riesgo Inherente]]="","",Matriz_Riesgos[[#This Row],[Riesgo Inherente]])</f>
        <v>Reconocimiento de prestacion economica cuando se adicionan periodos no cotizadas realmente, se duplican períodos ya contabilizados, se modifican historiales laborales en el sistema o se corrigen registros sin trazabilidad.</v>
      </c>
      <c r="AI14"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14"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14" s="102">
        <f>IFERROR(ROUND(MAX(1,Matriz_Riesgos[[#This Row],[Valor del Riesgo Inherente]]*(1 - Matriz_Riesgos[[#This Row],[Efectividad Total Ponderada de los Controles]])),0), "")</f>
        <v>7</v>
      </c>
      <c r="AL14" s="102" t="str">
        <f>IFERROR(VLOOKUP(Matriz_Riesgos[[#This Row],[Valor del Riesgo Residual]],t_nivel_riesgo[],2,FALSE),"")</f>
        <v>Riesgo Alto</v>
      </c>
      <c r="AM14" s="104" t="s">
        <v>197</v>
      </c>
      <c r="AN14" s="105"/>
      <c r="AO14" s="103"/>
      <c r="AP14" s="103"/>
      <c r="AQ14" s="103"/>
      <c r="AR14" s="103"/>
      <c r="AS14" s="103"/>
      <c r="AT14" s="103"/>
      <c r="AU14" s="103"/>
      <c r="AV14" s="103"/>
      <c r="AW14" s="103"/>
      <c r="AX14" s="112">
        <f>IFERROR((1-Matriz_Riesgos[[#This Row],[Efectividad Total Ponderada de los Controles]])*Matriz_Riesgos[[#This Row],[Frecuencia]],"")</f>
        <v>3</v>
      </c>
      <c r="AY14" s="112">
        <f>IFERROR((1-Matriz_Riesgos[[#This Row],[Efectividad Total Ponderada de los Controles]])*Matriz_Riesgos[[#This Row],[Impacto]],"")</f>
        <v>5</v>
      </c>
      <c r="AZ14" s="112">
        <f>IFERROR(Matriz_Riesgos[[#This Row],[Valor del Riesgo Residual]] + 1, "")</f>
        <v>8</v>
      </c>
      <c r="BA14" s="112">
        <f>IFERROR(MAX(1, ROUNDDOWN(Matriz_Riesgos[[#This Row],[Frecuencia Residual (AUX)]],0)),"")</f>
        <v>3</v>
      </c>
      <c r="BB14" s="112">
        <f>IFERROR(MAX(1, ROUNDDOWN(Matriz_Riesgos[[#This Row],[Impacto Residual (AUX)]],0)),"")</f>
        <v>5</v>
      </c>
      <c r="BC14" s="112">
        <f>IF(Matriz_Riesgos[[#This Row],[Frecuencia]]="","",Matriz_Riesgos[[#This Row],[Frecuencia]])</f>
        <v>3</v>
      </c>
      <c r="BD14" s="112">
        <f>IF(Matriz_Riesgos[[#This Row],[Impacto]]="","",Matriz_Riesgos[[#This Row],[Impacto]])</f>
        <v>5</v>
      </c>
      <c r="BE14" s="112">
        <f>IF(OR(Matriz_Riesgos[[#This Row],[Tope F (AUX)]]="",Matriz_Riesgos[[#This Row],[F_base (AUX)]]=""),"",MAX(0,Matriz_Riesgos[[#This Row],[Tope F (AUX)]]-Matriz_Riesgos[[#This Row],[F_base (AUX)]]))</f>
        <v>0</v>
      </c>
      <c r="BF14" s="112">
        <f>IF(OR(Matriz_Riesgos[[#This Row],[Tope I (AUX)]]="",Matriz_Riesgos[[#This Row],[I_base (AUX)]]=""),"",MAX(0,Matriz_Riesgos[[#This Row],[Tope I (AUX)]]-Matriz_Riesgos[[#This Row],[I_base (AUX)]]))</f>
        <v>0</v>
      </c>
      <c r="BG14" s="112">
        <f>IF(OR(Matriz_Riesgos[[#This Row],[Suma Residual redondeada (AUX)]]="",Matriz_Riesgos[[#This Row],[F_base (AUX)]]="",Matriz_Riesgos[[#This Row],[I_base (AUX)]]=""),"",MAX(0,Matriz_Riesgos[[#This Row],[Suma Residual redondeada (AUX)]]-(Matriz_Riesgos[[#This Row],[F_base (AUX)]]+Matriz_Riesgos[[#This Row],[I_base (AUX)]])))</f>
        <v>0</v>
      </c>
      <c r="BH14"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14"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14" s="112">
        <f>IF(OR(Matriz_Riesgos[[#This Row],[Resto (AUX)]]="",Matriz_Riesgos[[#This Row],[Capacidad F (AUX)]]="",Matriz_Riesgos[[#This Row],[Inc_I (AUX)]]=""),"",MIN(Matriz_Riesgos[[#This Row],[Capacidad F (AUX)]], MAX(0,Matriz_Riesgos[[#This Row],[Resto (AUX)]]-Matriz_Riesgos[[#This Row],[Inc_I (AUX)]])))</f>
        <v>0</v>
      </c>
      <c r="BK14" s="112">
        <f>IFERROR(MAX(ROUND(Matriz_Riesgos[[#This Row],[Frecuencia Residual (AUX)]]+Matriz_Riesgos[[#This Row],[Impacto Residual (AUX)]]-1+Matriz_Riesgos[[#This Row],[Efectividad Total Ponderada de los Controles]],0),1),"")</f>
        <v>7</v>
      </c>
      <c r="BL14" s="112">
        <f>IFERROR(Matriz_Riesgos[[#This Row],[Valor del Riesgo Residual]]-Matriz_Riesgos[[#This Row],[Valor del Riesgo Residual (AUX)]],"")</f>
        <v>0</v>
      </c>
      <c r="BM14" s="112">
        <f>IFERROR(Matriz_Riesgos[[#This Row],[Frecuencia Residual]]+Matriz_Riesgos[[#This Row],[Impacto Residual]]-1,"")</f>
        <v>7</v>
      </c>
      <c r="BN14" s="112">
        <f>IFERROR(Matriz_Riesgos[[#This Row],[Valor del Riesgo Residual]]-Matriz_Riesgos[[#This Row],[VRR 2]],"")</f>
        <v>0</v>
      </c>
      <c r="BO14" s="112">
        <f>IFERROR(Matriz_Riesgos[[#This Row],[Frecuencia]]-Matriz_Riesgos[[#This Row],[Frecuencia Residual]],"")</f>
        <v>0</v>
      </c>
      <c r="BP14" s="112">
        <f>IFERROR(Matriz_Riesgos[[#This Row],[Impacto]]-Matriz_Riesgos[[#This Row],[Impacto Residual]],"")</f>
        <v>0</v>
      </c>
      <c r="BQ14" s="112">
        <f>IFERROR(Matriz_Riesgos[[#This Row],[Valor del Riesgo Inherente]]-Matriz_Riesgos[[#This Row],[Valor del Riesgo Residual]],"")</f>
        <v>0</v>
      </c>
      <c r="BR14" s="4"/>
      <c r="BS14" s="4"/>
      <c r="BT14" s="4"/>
      <c r="BU14" s="4"/>
      <c r="BV14" s="4"/>
      <c r="BW14" s="4"/>
      <c r="BX14" s="4"/>
      <c r="BY14" s="4"/>
      <c r="BZ14" s="4"/>
      <c r="CA14" s="4"/>
      <c r="CB14" s="4"/>
      <c r="CC14" s="4"/>
      <c r="CD14" s="4"/>
    </row>
    <row r="15" spans="1:75" s="113" customFormat="1" ht="180">
      <c r="A15" s="118">
        <v>14</v>
      </c>
      <c r="B15" s="102" t="inlineStr">
        <is>
          <t>ROTR-RRHH-14</t>
        </is>
      </c>
      <c r="C15" s="103" t="s">
        <v>258</v>
      </c>
      <c r="D15" s="104"/>
      <c r="E15" s="104" t="s">
        <v>186</v>
      </c>
      <c r="F15" s="103" t="s">
        <v>302</v>
      </c>
      <c r="G15" s="105"/>
      <c r="H15" s="119" t="s">
        <v>303</v>
      </c>
      <c r="I15" s="144" t="s">
        <v>304</v>
      </c>
      <c r="J15" s="104">
        <v>2</v>
      </c>
      <c r="K15" s="104">
        <v>5</v>
      </c>
      <c r="L15" s="102">
        <f>IF((Matriz_Riesgos[[#This Row],[Frecuencia]]+Matriz_Riesgos[[#This Row],[Impacto]]-1)=-1,"",Matriz_Riesgos[[#This Row],[Frecuencia]]+Matriz_Riesgos[[#This Row],[Impacto]]-1)</f>
        <v>6</v>
      </c>
      <c r="M15" s="102" t="str">
        <f>IFERROR(VLOOKUP(Matriz_Riesgos[[#This Row],[Valor del Riesgo Inherente]],t_nivel_riesgo[],2,FALSE), "")</f>
        <v>Riesgo Alto</v>
      </c>
      <c r="N15" s="103" t="s">
        <v>258</v>
      </c>
      <c r="O15" s="104" t="s">
        <v>190</v>
      </c>
      <c r="P15" s="103" t="s">
        <v>305</v>
      </c>
      <c r="Q15" s="106"/>
      <c r="R15" s="106"/>
      <c r="S15" s="106"/>
      <c r="T15" s="107"/>
      <c r="U15" s="108"/>
      <c r="V15" s="109"/>
      <c r="W15" s="110"/>
      <c r="X15" s="103" t="s">
        <v>306</v>
      </c>
      <c r="Y15" s="108"/>
      <c r="Z15" s="102"/>
      <c r="AA15" s="110"/>
      <c r="AB15" s="103"/>
      <c r="AC15" s="108"/>
      <c r="AD15" s="109"/>
      <c r="AE15" s="110"/>
      <c r="AF15" s="104"/>
      <c r="AG15" s="111">
        <f>IF(AND(T15="",X15="",AB15=""),"",('Otras Tablas'!$B$3*IF(W15="",0,W15)+'Otras Tablas'!$B$4*IF(AA15="",0,AA15)+'Otras Tablas'!$B$5*IF(AE15="",0,AE15)))</f>
      </c>
      <c r="AH15" s="102" t="str">
        <f>IF(Matriz_Riesgos[[#This Row],[Riesgo Inherente]]="","",Matriz_Riesgos[[#This Row],[Riesgo Inherente]])</f>
        <v>Pago de planilla o desembolso de salarios, a empleados inexistentes dentro del IHSS (empleados fantasma) o a cuentas bancarias controladas por tercerros</v>
      </c>
      <c r="AI15"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2</v>
      </c>
      <c r="AJ15"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15" s="102">
        <f>IFERROR(ROUND(MAX(1,Matriz_Riesgos[[#This Row],[Valor del Riesgo Inherente]]*(1 - Matriz_Riesgos[[#This Row],[Efectividad Total Ponderada de los Controles]])),0), "")</f>
        <v>6</v>
      </c>
      <c r="AL15" s="102" t="str">
        <f>IFERROR(VLOOKUP(Matriz_Riesgos[[#This Row],[Valor del Riesgo Residual]],t_nivel_riesgo[],2,FALSE),"")</f>
        <v>Riesgo Alto</v>
      </c>
      <c r="AM15" s="104" t="s">
        <v>197</v>
      </c>
      <c r="AN15" s="105"/>
      <c r="AO15" s="103"/>
      <c r="AP15" s="103"/>
      <c r="AQ15" s="103"/>
      <c r="AR15" s="103"/>
      <c r="AS15" s="103"/>
      <c r="AT15" s="103"/>
      <c r="AU15" s="103"/>
      <c r="AV15" s="103"/>
      <c r="AW15" s="103"/>
      <c r="AX15" s="112">
        <f>IFERROR((1-Matriz_Riesgos[[#This Row],[Efectividad Total Ponderada de los Controles]])*Matriz_Riesgos[[#This Row],[Frecuencia]],"")</f>
        <v>2</v>
      </c>
      <c r="AY15" s="112">
        <f>IFERROR((1-Matriz_Riesgos[[#This Row],[Efectividad Total Ponderada de los Controles]])*Matriz_Riesgos[[#This Row],[Impacto]],"")</f>
        <v>5</v>
      </c>
      <c r="AZ15" s="112">
        <f>IFERROR(Matriz_Riesgos[[#This Row],[Valor del Riesgo Residual]] + 1, "")</f>
        <v>7</v>
      </c>
      <c r="BA15" s="112">
        <f>IFERROR(MAX(1, ROUNDDOWN(Matriz_Riesgos[[#This Row],[Frecuencia Residual (AUX)]],0)),"")</f>
        <v>2</v>
      </c>
      <c r="BB15" s="112">
        <f>IFERROR(MAX(1, ROUNDDOWN(Matriz_Riesgos[[#This Row],[Impacto Residual (AUX)]],0)),"")</f>
        <v>5</v>
      </c>
      <c r="BC15" s="112">
        <f>IF(Matriz_Riesgos[[#This Row],[Frecuencia]]="","",Matriz_Riesgos[[#This Row],[Frecuencia]])</f>
        <v>2</v>
      </c>
      <c r="BD15" s="112">
        <f>IF(Matriz_Riesgos[[#This Row],[Impacto]]="","",Matriz_Riesgos[[#This Row],[Impacto]])</f>
        <v>5</v>
      </c>
      <c r="BE15" s="112">
        <f>IF(OR(Matriz_Riesgos[[#This Row],[Tope F (AUX)]]="",Matriz_Riesgos[[#This Row],[F_base (AUX)]]=""),"",MAX(0,Matriz_Riesgos[[#This Row],[Tope F (AUX)]]-Matriz_Riesgos[[#This Row],[F_base (AUX)]]))</f>
        <v>0</v>
      </c>
      <c r="BF15" s="112">
        <f>IF(OR(Matriz_Riesgos[[#This Row],[Tope I (AUX)]]="",Matriz_Riesgos[[#This Row],[I_base (AUX)]]=""),"",MAX(0,Matriz_Riesgos[[#This Row],[Tope I (AUX)]]-Matriz_Riesgos[[#This Row],[I_base (AUX)]]))</f>
        <v>0</v>
      </c>
      <c r="BG15" s="112">
        <f>IF(OR(Matriz_Riesgos[[#This Row],[Suma Residual redondeada (AUX)]]="",Matriz_Riesgos[[#This Row],[F_base (AUX)]]="",Matriz_Riesgos[[#This Row],[I_base (AUX)]]=""),"",MAX(0,Matriz_Riesgos[[#This Row],[Suma Residual redondeada (AUX)]]-(Matriz_Riesgos[[#This Row],[F_base (AUX)]]+Matriz_Riesgos[[#This Row],[I_base (AUX)]])))</f>
        <v>0</v>
      </c>
      <c r="BH15"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15"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15" s="112">
        <f>IF(OR(Matriz_Riesgos[[#This Row],[Resto (AUX)]]="",Matriz_Riesgos[[#This Row],[Capacidad F (AUX)]]="",Matriz_Riesgos[[#This Row],[Inc_I (AUX)]]=""),"",MIN(Matriz_Riesgos[[#This Row],[Capacidad F (AUX)]], MAX(0,Matriz_Riesgos[[#This Row],[Resto (AUX)]]-Matriz_Riesgos[[#This Row],[Inc_I (AUX)]])))</f>
        <v>0</v>
      </c>
      <c r="BK15" s="112">
        <f>IFERROR(MAX(ROUND(Matriz_Riesgos[[#This Row],[Frecuencia Residual (AUX)]]+Matriz_Riesgos[[#This Row],[Impacto Residual (AUX)]]-1+Matriz_Riesgos[[#This Row],[Efectividad Total Ponderada de los Controles]],0),1),"")</f>
        <v>6</v>
      </c>
      <c r="BL15" s="112">
        <f>IFERROR(Matriz_Riesgos[[#This Row],[Valor del Riesgo Residual]]-Matriz_Riesgos[[#This Row],[Valor del Riesgo Residual (AUX)]],"")</f>
        <v>0</v>
      </c>
      <c r="BM15" s="112">
        <f>IFERROR(Matriz_Riesgos[[#This Row],[Frecuencia Residual]]+Matriz_Riesgos[[#This Row],[Impacto Residual]]-1,"")</f>
        <v>6</v>
      </c>
      <c r="BN15" s="112">
        <f>IFERROR(Matriz_Riesgos[[#This Row],[Valor del Riesgo Residual]]-Matriz_Riesgos[[#This Row],[VRR 2]],"")</f>
        <v>0</v>
      </c>
      <c r="BO15" s="112">
        <f>IFERROR(Matriz_Riesgos[[#This Row],[Frecuencia]]-Matriz_Riesgos[[#This Row],[Frecuencia Residual]],"")</f>
        <v>0</v>
      </c>
      <c r="BP15" s="112">
        <f>IFERROR(Matriz_Riesgos[[#This Row],[Impacto]]-Matriz_Riesgos[[#This Row],[Impacto Residual]],"")</f>
        <v>0</v>
      </c>
      <c r="BQ15" s="112">
        <f>IFERROR(Matriz_Riesgos[[#This Row],[Valor del Riesgo Inherente]]-Matriz_Riesgos[[#This Row],[Valor del Riesgo Residual]],"")</f>
        <v>0</v>
      </c>
      <c r="BR15" s="103" t="s">
        <v>307</v>
      </c>
      <c r="BS15" s="103"/>
      <c r="BT15" s="103"/>
      <c r="BU15" s="103"/>
      <c r="BV15" s="103"/>
      <c r="BW15" s="103"/>
      <c r="BX15" s="103"/>
      <c r="BY15" s="103"/>
      <c r="BZ15" s="103"/>
      <c r="CA15" s="103"/>
      <c r="CB15" s="103"/>
      <c r="CC15" s="103"/>
      <c r="CD15" s="103"/>
    </row>
    <row r="16" spans="1:75" s="113" customFormat="1" ht="220.5" customHeight="1">
      <c r="A16" s="118">
        <v>15</v>
      </c>
      <c r="B16" s="102" t="inlineStr">
        <is>
          <t>ROTR-RRHH-15</t>
        </is>
      </c>
      <c r="C16" s="103" t="s">
        <v>258</v>
      </c>
      <c r="D16" s="104"/>
      <c r="E16" s="104" t="s">
        <v>186</v>
      </c>
      <c r="F16" s="103" t="s">
        <v>308</v>
      </c>
      <c r="G16" s="105"/>
      <c r="H16" s="119" t="s">
        <v>309</v>
      </c>
      <c r="I16" s="144" t="s">
        <v>310</v>
      </c>
      <c r="J16" s="104">
        <v>3</v>
      </c>
      <c r="K16" s="104">
        <v>4</v>
      </c>
      <c r="L16" s="102">
        <f>IF((Matriz_Riesgos[[#This Row],[Frecuencia]]+Matriz_Riesgos[[#This Row],[Impacto]]-1)=-1,"",Matriz_Riesgos[[#This Row],[Frecuencia]]+Matriz_Riesgos[[#This Row],[Impacto]]-1)</f>
        <v>6</v>
      </c>
      <c r="M16" s="102" t="str">
        <f>IFERROR(VLOOKUP(Matriz_Riesgos[[#This Row],[Valor del Riesgo Inherente]],t_nivel_riesgo[],2,FALSE), "")</f>
        <v>Riesgo Alto</v>
      </c>
      <c r="N16" s="103" t="s">
        <v>258</v>
      </c>
      <c r="O16" s="104" t="s">
        <v>190</v>
      </c>
      <c r="P16" s="103" t="s">
        <v>311</v>
      </c>
      <c r="Q16" s="106"/>
      <c r="R16" s="106"/>
      <c r="S16" s="106"/>
      <c r="T16" s="107" t="s">
        <v>312</v>
      </c>
      <c r="U16" s="108"/>
      <c r="V16" s="109"/>
      <c r="W16" s="110"/>
      <c r="X16" s="107" t="s">
        <v>313</v>
      </c>
      <c r="Y16" s="108"/>
      <c r="Z16" s="102"/>
      <c r="AA16" s="110"/>
      <c r="AB16" s="107" t="s">
        <v>314</v>
      </c>
      <c r="AC16" s="108"/>
      <c r="AD16" s="109"/>
      <c r="AE16" s="110"/>
      <c r="AF16" s="104"/>
      <c r="AG16" s="111">
        <f>IF(AND(T16="",X16="",AB16=""),"",('Otras Tablas'!$B$3*IF(W16="",0,W16)+'Otras Tablas'!$B$4*IF(AA16="",0,AA16)+'Otras Tablas'!$B$5*IF(AE16="",0,AE16)))</f>
      </c>
      <c r="AH16" s="102" t="str">
        <f>IF(Matriz_Riesgos[[#This Row],[Riesgo Inherente]]="","",Matriz_Riesgos[[#This Row],[Riesgo Inherente]])</f>
        <v>Aplicación de incrementos salariales sin respaldo presupuestario ni aprobación formal conforme a normativa interna</v>
      </c>
      <c r="AI16"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16"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4</v>
      </c>
      <c r="AK16" s="102">
        <f>IFERROR(ROUND(MAX(1,Matriz_Riesgos[[#This Row],[Valor del Riesgo Inherente]]*(1 - Matriz_Riesgos[[#This Row],[Efectividad Total Ponderada de los Controles]])),0), "")</f>
        <v>6</v>
      </c>
      <c r="AL16" s="102" t="str">
        <f>IFERROR(VLOOKUP(Matriz_Riesgos[[#This Row],[Valor del Riesgo Residual]],t_nivel_riesgo[],2,FALSE),"")</f>
        <v>Riesgo Alto</v>
      </c>
      <c r="AM16" s="104" t="s">
        <v>197</v>
      </c>
      <c r="AN16" s="105"/>
      <c r="AO16" s="103"/>
      <c r="AP16" s="103"/>
      <c r="AQ16" s="103"/>
      <c r="AR16" s="103"/>
      <c r="AS16" s="103"/>
      <c r="AT16" s="103"/>
      <c r="AU16" s="103"/>
      <c r="AV16" s="103"/>
      <c r="AW16" s="103"/>
      <c r="AX16" s="112">
        <f>IFERROR((1-Matriz_Riesgos[[#This Row],[Efectividad Total Ponderada de los Controles]])*Matriz_Riesgos[[#This Row],[Frecuencia]],"")</f>
        <v>3</v>
      </c>
      <c r="AY16" s="112">
        <f>IFERROR((1-Matriz_Riesgos[[#This Row],[Efectividad Total Ponderada de los Controles]])*Matriz_Riesgos[[#This Row],[Impacto]],"")</f>
        <v>4</v>
      </c>
      <c r="AZ16" s="112">
        <f>IFERROR(Matriz_Riesgos[[#This Row],[Valor del Riesgo Residual]] + 1, "")</f>
        <v>7</v>
      </c>
      <c r="BA16" s="112">
        <f>IFERROR(MAX(1, ROUNDDOWN(Matriz_Riesgos[[#This Row],[Frecuencia Residual (AUX)]],0)),"")</f>
        <v>3</v>
      </c>
      <c r="BB16" s="112">
        <f>IFERROR(MAX(1, ROUNDDOWN(Matriz_Riesgos[[#This Row],[Impacto Residual (AUX)]],0)),"")</f>
        <v>4</v>
      </c>
      <c r="BC16" s="112">
        <f>IF(Matriz_Riesgos[[#This Row],[Frecuencia]]="","",Matriz_Riesgos[[#This Row],[Frecuencia]])</f>
        <v>3</v>
      </c>
      <c r="BD16" s="112">
        <f>IF(Matriz_Riesgos[[#This Row],[Impacto]]="","",Matriz_Riesgos[[#This Row],[Impacto]])</f>
        <v>4</v>
      </c>
      <c r="BE16" s="112">
        <f>IF(OR(Matriz_Riesgos[[#This Row],[Tope F (AUX)]]="",Matriz_Riesgos[[#This Row],[F_base (AUX)]]=""),"",MAX(0,Matriz_Riesgos[[#This Row],[Tope F (AUX)]]-Matriz_Riesgos[[#This Row],[F_base (AUX)]]))</f>
        <v>0</v>
      </c>
      <c r="BF16" s="112">
        <f>IF(OR(Matriz_Riesgos[[#This Row],[Tope I (AUX)]]="",Matriz_Riesgos[[#This Row],[I_base (AUX)]]=""),"",MAX(0,Matriz_Riesgos[[#This Row],[Tope I (AUX)]]-Matriz_Riesgos[[#This Row],[I_base (AUX)]]))</f>
        <v>0</v>
      </c>
      <c r="BG16" s="112">
        <f>IF(OR(Matriz_Riesgos[[#This Row],[Suma Residual redondeada (AUX)]]="",Matriz_Riesgos[[#This Row],[F_base (AUX)]]="",Matriz_Riesgos[[#This Row],[I_base (AUX)]]=""),"",MAX(0,Matriz_Riesgos[[#This Row],[Suma Residual redondeada (AUX)]]-(Matriz_Riesgos[[#This Row],[F_base (AUX)]]+Matriz_Riesgos[[#This Row],[I_base (AUX)]])))</f>
        <v>0</v>
      </c>
      <c r="BH16"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16"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16" s="112">
        <f>IF(OR(Matriz_Riesgos[[#This Row],[Resto (AUX)]]="",Matriz_Riesgos[[#This Row],[Capacidad F (AUX)]]="",Matriz_Riesgos[[#This Row],[Inc_I (AUX)]]=""),"",MIN(Matriz_Riesgos[[#This Row],[Capacidad F (AUX)]], MAX(0,Matriz_Riesgos[[#This Row],[Resto (AUX)]]-Matriz_Riesgos[[#This Row],[Inc_I (AUX)]])))</f>
        <v>0</v>
      </c>
      <c r="BK16" s="112">
        <f>IFERROR(MAX(ROUND(Matriz_Riesgos[[#This Row],[Frecuencia Residual (AUX)]]+Matriz_Riesgos[[#This Row],[Impacto Residual (AUX)]]-1+Matriz_Riesgos[[#This Row],[Efectividad Total Ponderada de los Controles]],0),1),"")</f>
        <v>6</v>
      </c>
      <c r="BL16" s="112">
        <f>IFERROR(Matriz_Riesgos[[#This Row],[Valor del Riesgo Residual]]-Matriz_Riesgos[[#This Row],[Valor del Riesgo Residual (AUX)]],"")</f>
        <v>0</v>
      </c>
      <c r="BM16" s="112">
        <f>IFERROR(Matriz_Riesgos[[#This Row],[Frecuencia Residual]]+Matriz_Riesgos[[#This Row],[Impacto Residual]]-1,"")</f>
        <v>6</v>
      </c>
      <c r="BN16" s="112">
        <f>IFERROR(Matriz_Riesgos[[#This Row],[Valor del Riesgo Residual]]-Matriz_Riesgos[[#This Row],[VRR 2]],"")</f>
        <v>0</v>
      </c>
      <c r="BO16" s="112">
        <f>IFERROR(Matriz_Riesgos[[#This Row],[Frecuencia]]-Matriz_Riesgos[[#This Row],[Frecuencia Residual]],"")</f>
        <v>0</v>
      </c>
      <c r="BP16" s="112">
        <f>IFERROR(Matriz_Riesgos[[#This Row],[Impacto]]-Matriz_Riesgos[[#This Row],[Impacto Residual]],"")</f>
        <v>0</v>
      </c>
      <c r="BQ16" s="112">
        <f>IFERROR(Matriz_Riesgos[[#This Row],[Valor del Riesgo Inherente]]-Matriz_Riesgos[[#This Row],[Valor del Riesgo Residual]],"")</f>
        <v>0</v>
      </c>
      <c r="BR16" s="103" t="s">
        <v>315</v>
      </c>
      <c r="BS16" s="103"/>
      <c r="BT16" s="103"/>
      <c r="BU16" s="103"/>
      <c r="BV16" s="103"/>
      <c r="BW16" s="103"/>
      <c r="BX16" s="103"/>
      <c r="BY16" s="103"/>
      <c r="BZ16" s="103"/>
      <c r="CA16" s="103"/>
      <c r="CB16" s="103"/>
      <c r="CC16" s="103"/>
      <c r="CD16" s="103"/>
    </row>
    <row r="17" spans="1:75" s="113" customFormat="1" ht="229.5" customHeight="1">
      <c r="A17" s="118">
        <v>16</v>
      </c>
      <c r="B17" s="102" t="inlineStr">
        <is>
          <t>ROTR-RRHH-16</t>
        </is>
      </c>
      <c r="C17" s="103" t="s">
        <v>258</v>
      </c>
      <c r="D17" s="104"/>
      <c r="E17" s="104" t="s">
        <v>186</v>
      </c>
      <c r="F17" s="119" t="s">
        <v>259</v>
      </c>
      <c r="G17" s="105"/>
      <c r="H17" s="103" t="s">
        <v>316</v>
      </c>
      <c r="I17" s="144" t="s">
        <v>317</v>
      </c>
      <c r="J17" s="104">
        <v>2</v>
      </c>
      <c r="K17" s="104">
        <v>5</v>
      </c>
      <c r="L17" s="102">
        <f>IF((Matriz_Riesgos[[#This Row],[Frecuencia]]+Matriz_Riesgos[[#This Row],[Impacto]]-1)=-1,"",Matriz_Riesgos[[#This Row],[Frecuencia]]+Matriz_Riesgos[[#This Row],[Impacto]]-1)</f>
        <v>6</v>
      </c>
      <c r="M17" s="102" t="str">
        <f>IFERROR(VLOOKUP(Matriz_Riesgos[[#This Row],[Valor del Riesgo Inherente]],t_nivel_riesgo[],2,FALSE), "")</f>
        <v>Riesgo Alto</v>
      </c>
      <c r="N17" s="103" t="s">
        <v>318</v>
      </c>
      <c r="O17" s="104" t="s">
        <v>190</v>
      </c>
      <c r="P17" s="103" t="s">
        <v>319</v>
      </c>
      <c r="Q17" s="106"/>
      <c r="R17" s="106"/>
      <c r="S17" s="106"/>
      <c r="T17" s="107" t="s">
        <v>320</v>
      </c>
      <c r="U17" s="108"/>
      <c r="V17" s="109"/>
      <c r="W17" s="110"/>
      <c r="X17" s="103"/>
      <c r="Y17" s="108"/>
      <c r="Z17" s="102"/>
      <c r="AA17" s="110"/>
      <c r="AB17" s="103"/>
      <c r="AC17" s="108"/>
      <c r="AD17" s="109"/>
      <c r="AE17" s="110"/>
      <c r="AF17" s="104"/>
      <c r="AG17" s="111">
        <f>IF(AND(T17="",X17="",AB17=""),"",('Otras Tablas'!$B$3*IF(W17="",0,W17)+'Otras Tablas'!$B$4*IF(AA17="",0,AA17)+'Otras Tablas'!$B$5*IF(AE17="",0,AE17)))</f>
      </c>
      <c r="AH17" s="102" t="str">
        <f>IF(Matriz_Riesgos[[#This Row],[Riesgo Inherente]]="","",Matriz_Riesgos[[#This Row],[Riesgo Inherente]])</f>
        <v>Adjudicación de contratos incumpliendo requisitos de transparencia, competencia y aprobación interna.</v>
      </c>
      <c r="AI17"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2</v>
      </c>
      <c r="AJ17"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17" s="102">
        <f>IFERROR(ROUND(MAX(1,Matriz_Riesgos[[#This Row],[Valor del Riesgo Inherente]]*(1 - Matriz_Riesgos[[#This Row],[Efectividad Total Ponderada de los Controles]])),0), "")</f>
        <v>6</v>
      </c>
      <c r="AL17" s="102" t="str">
        <f>IFERROR(VLOOKUP(Matriz_Riesgos[[#This Row],[Valor del Riesgo Residual]],t_nivel_riesgo[],2,FALSE),"")</f>
        <v>Riesgo Alto</v>
      </c>
      <c r="AM17" s="104" t="s">
        <v>197</v>
      </c>
      <c r="AN17" s="105"/>
      <c r="AO17" s="103"/>
      <c r="AP17" s="103"/>
      <c r="AQ17" s="103"/>
      <c r="AR17" s="103"/>
      <c r="AS17" s="103"/>
      <c r="AT17" s="103"/>
      <c r="AU17" s="103"/>
      <c r="AV17" s="103"/>
      <c r="AW17" s="103"/>
      <c r="AX17" s="112">
        <f>IFERROR((1-Matriz_Riesgos[[#This Row],[Efectividad Total Ponderada de los Controles]])*Matriz_Riesgos[[#This Row],[Frecuencia]],"")</f>
        <v>2</v>
      </c>
      <c r="AY17" s="112">
        <f>IFERROR((1-Matriz_Riesgos[[#This Row],[Efectividad Total Ponderada de los Controles]])*Matriz_Riesgos[[#This Row],[Impacto]],"")</f>
        <v>5</v>
      </c>
      <c r="AZ17" s="112">
        <f>IFERROR(Matriz_Riesgos[[#This Row],[Valor del Riesgo Residual]] + 1, "")</f>
        <v>7</v>
      </c>
      <c r="BA17" s="112">
        <f>IFERROR(MAX(1, ROUNDDOWN(Matriz_Riesgos[[#This Row],[Frecuencia Residual (AUX)]],0)),"")</f>
        <v>2</v>
      </c>
      <c r="BB17" s="112">
        <f>IFERROR(MAX(1, ROUNDDOWN(Matriz_Riesgos[[#This Row],[Impacto Residual (AUX)]],0)),"")</f>
        <v>5</v>
      </c>
      <c r="BC17" s="112">
        <f>IF(Matriz_Riesgos[[#This Row],[Frecuencia]]="","",Matriz_Riesgos[[#This Row],[Frecuencia]])</f>
        <v>2</v>
      </c>
      <c r="BD17" s="112">
        <f>IF(Matriz_Riesgos[[#This Row],[Impacto]]="","",Matriz_Riesgos[[#This Row],[Impacto]])</f>
        <v>5</v>
      </c>
      <c r="BE17" s="112">
        <f>IF(OR(Matriz_Riesgos[[#This Row],[Tope F (AUX)]]="",Matriz_Riesgos[[#This Row],[F_base (AUX)]]=""),"",MAX(0,Matriz_Riesgos[[#This Row],[Tope F (AUX)]]-Matriz_Riesgos[[#This Row],[F_base (AUX)]]))</f>
        <v>0</v>
      </c>
      <c r="BF17" s="112">
        <f>IF(OR(Matriz_Riesgos[[#This Row],[Tope I (AUX)]]="",Matriz_Riesgos[[#This Row],[I_base (AUX)]]=""),"",MAX(0,Matriz_Riesgos[[#This Row],[Tope I (AUX)]]-Matriz_Riesgos[[#This Row],[I_base (AUX)]]))</f>
        <v>0</v>
      </c>
      <c r="BG17" s="112">
        <f>IF(OR(Matriz_Riesgos[[#This Row],[Suma Residual redondeada (AUX)]]="",Matriz_Riesgos[[#This Row],[F_base (AUX)]]="",Matriz_Riesgos[[#This Row],[I_base (AUX)]]=""),"",MAX(0,Matriz_Riesgos[[#This Row],[Suma Residual redondeada (AUX)]]-(Matriz_Riesgos[[#This Row],[F_base (AUX)]]+Matriz_Riesgos[[#This Row],[I_base (AUX)]])))</f>
        <v>0</v>
      </c>
      <c r="BH17"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17"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17" s="112">
        <f>IF(OR(Matriz_Riesgos[[#This Row],[Resto (AUX)]]="",Matriz_Riesgos[[#This Row],[Capacidad F (AUX)]]="",Matriz_Riesgos[[#This Row],[Inc_I (AUX)]]=""),"",MIN(Matriz_Riesgos[[#This Row],[Capacidad F (AUX)]], MAX(0,Matriz_Riesgos[[#This Row],[Resto (AUX)]]-Matriz_Riesgos[[#This Row],[Inc_I (AUX)]])))</f>
        <v>0</v>
      </c>
      <c r="BK17" s="112">
        <f>IFERROR(MAX(ROUND(Matriz_Riesgos[[#This Row],[Frecuencia Residual (AUX)]]+Matriz_Riesgos[[#This Row],[Impacto Residual (AUX)]]-1+Matriz_Riesgos[[#This Row],[Efectividad Total Ponderada de los Controles]],0),1),"")</f>
        <v>6</v>
      </c>
      <c r="BL17" s="112">
        <f>IFERROR(Matriz_Riesgos[[#This Row],[Valor del Riesgo Residual]]-Matriz_Riesgos[[#This Row],[Valor del Riesgo Residual (AUX)]],"")</f>
        <v>0</v>
      </c>
      <c r="BM17" s="112">
        <f>IFERROR(Matriz_Riesgos[[#This Row],[Frecuencia Residual]]+Matriz_Riesgos[[#This Row],[Impacto Residual]]-1,"")</f>
        <v>6</v>
      </c>
      <c r="BN17" s="112">
        <f>IFERROR(Matriz_Riesgos[[#This Row],[Valor del Riesgo Residual]]-Matriz_Riesgos[[#This Row],[VRR 2]],"")</f>
        <v>0</v>
      </c>
      <c r="BO17" s="112">
        <f>IFERROR(Matriz_Riesgos[[#This Row],[Frecuencia]]-Matriz_Riesgos[[#This Row],[Frecuencia Residual]],"")</f>
        <v>0</v>
      </c>
      <c r="BP17" s="112">
        <f>IFERROR(Matriz_Riesgos[[#This Row],[Impacto]]-Matriz_Riesgos[[#This Row],[Impacto Residual]],"")</f>
        <v>0</v>
      </c>
      <c r="BQ17" s="112">
        <f>IFERROR(Matriz_Riesgos[[#This Row],[Valor del Riesgo Inherente]]-Matriz_Riesgos[[#This Row],[Valor del Riesgo Residual]],"")</f>
        <v>0</v>
      </c>
      <c r="BR17" s="107" t="s">
        <v>321</v>
      </c>
      <c r="BS17" s="107"/>
      <c r="BT17" s="107"/>
      <c r="BU17" s="107"/>
      <c r="BV17" s="107"/>
      <c r="BW17" s="107"/>
      <c r="BX17" s="107"/>
      <c r="BY17" s="107"/>
      <c r="BZ17" s="107"/>
      <c r="CA17" s="107"/>
      <c r="CB17" s="107"/>
      <c r="CC17" s="107"/>
      <c r="CD17" s="107"/>
    </row>
    <row r="18" spans="1:75" s="113" customFormat="1" ht="307.5" customHeight="1">
      <c r="A18" s="118">
        <v>17</v>
      </c>
      <c r="B18" s="102" t="inlineStr">
        <is>
          <t>ROTR-PATRONALCOMP-17</t>
        </is>
      </c>
      <c r="C18" s="103" t="s">
        <v>322</v>
      </c>
      <c r="D18" s="104"/>
      <c r="E18" s="104" t="s">
        <v>186</v>
      </c>
      <c r="F18" s="119" t="s">
        <v>323</v>
      </c>
      <c r="G18" s="105"/>
      <c r="H18" s="103" t="s">
        <v>324</v>
      </c>
      <c r="I18" s="144" t="s">
        <v>325</v>
      </c>
      <c r="J18" s="104">
        <v>4</v>
      </c>
      <c r="K18" s="104">
        <v>5</v>
      </c>
      <c r="L18" s="102">
        <f>IF((Matriz_Riesgos[[#This Row],[Frecuencia]]+Matriz_Riesgos[[#This Row],[Impacto]]-1)=-1,"",Matriz_Riesgos[[#This Row],[Frecuencia]]+Matriz_Riesgos[[#This Row],[Impacto]]-1)</f>
        <v>8</v>
      </c>
      <c r="M18" s="102" t="str">
        <f>IFERROR(VLOOKUP(Matriz_Riesgos[[#This Row],[Valor del Riesgo Inherente]],t_nivel_riesgo[],2,FALSE), "")</f>
        <v>Riesgo Intolerable</v>
      </c>
      <c r="N18" s="103" t="s">
        <v>326</v>
      </c>
      <c r="O18" s="104" t="s">
        <v>190</v>
      </c>
      <c r="P18" s="103" t="s">
        <v>327</v>
      </c>
      <c r="Q18" s="106"/>
      <c r="R18" s="106"/>
      <c r="S18" s="106"/>
      <c r="T18" s="107" t="s">
        <v>328</v>
      </c>
      <c r="U18" s="108"/>
      <c r="V18" s="109"/>
      <c r="W18" s="110"/>
      <c r="X18" s="107" t="s">
        <v>329</v>
      </c>
      <c r="Y18" s="108"/>
      <c r="Z18" s="102"/>
      <c r="AA18" s="110"/>
      <c r="AB18" s="107" t="s">
        <v>330</v>
      </c>
      <c r="AC18" s="108"/>
      <c r="AD18" s="109"/>
      <c r="AE18" s="110"/>
      <c r="AF18" s="104"/>
      <c r="AG18" s="111">
        <f>IF(AND(T18="",X18="",AB18=""),"",('Otras Tablas'!$B$3*IF(W18="",0,W18)+'Otras Tablas'!$B$4*IF(AA18="",0,AA18)+'Otras Tablas'!$B$5*IF(AE18="",0,AE18)))</f>
      </c>
      <c r="AH18" s="102" t="str">
        <f>IF(Matriz_Riesgos[[#This Row],[Riesgo Inherente]]="","",Matriz_Riesgos[[#This Row],[Riesgo Inherente]])</f>
        <v>Adjudicación y contratación con proveedor inexistente, ficticio, inhabilitado o sin capacidad real para prestar el servicio.</v>
      </c>
      <c r="AI18"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4</v>
      </c>
      <c r="AJ18"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18" s="102">
        <f>IFERROR(ROUND(MAX(1,Matriz_Riesgos[[#This Row],[Valor del Riesgo Inherente]]*(1 - Matriz_Riesgos[[#This Row],[Efectividad Total Ponderada de los Controles]])),0), "")</f>
        <v>8</v>
      </c>
      <c r="AL18" s="102" t="str">
        <f>IFERROR(VLOOKUP(Matriz_Riesgos[[#This Row],[Valor del Riesgo Residual]],t_nivel_riesgo[],2,FALSE),"")</f>
        <v>Riesgo Intolerable</v>
      </c>
      <c r="AM18" s="104" t="s">
        <v>197</v>
      </c>
      <c r="AN18" s="105"/>
      <c r="AO18" s="103"/>
      <c r="AP18" s="103"/>
      <c r="AQ18" s="103"/>
      <c r="AR18" s="103"/>
      <c r="AS18" s="103"/>
      <c r="AT18" s="103"/>
      <c r="AU18" s="103"/>
      <c r="AV18" s="103"/>
      <c r="AW18" s="103"/>
      <c r="AX18" s="112">
        <f>IFERROR((1-Matriz_Riesgos[[#This Row],[Efectividad Total Ponderada de los Controles]])*Matriz_Riesgos[[#This Row],[Frecuencia]],"")</f>
        <v>4</v>
      </c>
      <c r="AY18" s="112">
        <f>IFERROR((1-Matriz_Riesgos[[#This Row],[Efectividad Total Ponderada de los Controles]])*Matriz_Riesgos[[#This Row],[Impacto]],"")</f>
        <v>5</v>
      </c>
      <c r="AZ18" s="112">
        <f>IFERROR(Matriz_Riesgos[[#This Row],[Valor del Riesgo Residual]] + 1, "")</f>
        <v>9</v>
      </c>
      <c r="BA18" s="112">
        <f>IFERROR(MAX(1, ROUNDDOWN(Matriz_Riesgos[[#This Row],[Frecuencia Residual (AUX)]],0)),"")</f>
        <v>4</v>
      </c>
      <c r="BB18" s="112">
        <f>IFERROR(MAX(1, ROUNDDOWN(Matriz_Riesgos[[#This Row],[Impacto Residual (AUX)]],0)),"")</f>
        <v>5</v>
      </c>
      <c r="BC18" s="112">
        <f>IF(Matriz_Riesgos[[#This Row],[Frecuencia]]="","",Matriz_Riesgos[[#This Row],[Frecuencia]])</f>
        <v>4</v>
      </c>
      <c r="BD18" s="112">
        <f>IF(Matriz_Riesgos[[#This Row],[Impacto]]="","",Matriz_Riesgos[[#This Row],[Impacto]])</f>
        <v>5</v>
      </c>
      <c r="BE18" s="112">
        <f>IF(OR(Matriz_Riesgos[[#This Row],[Tope F (AUX)]]="",Matriz_Riesgos[[#This Row],[F_base (AUX)]]=""),"",MAX(0,Matriz_Riesgos[[#This Row],[Tope F (AUX)]]-Matriz_Riesgos[[#This Row],[F_base (AUX)]]))</f>
        <v>0</v>
      </c>
      <c r="BF18" s="112">
        <f>IF(OR(Matriz_Riesgos[[#This Row],[Tope I (AUX)]]="",Matriz_Riesgos[[#This Row],[I_base (AUX)]]=""),"",MAX(0,Matriz_Riesgos[[#This Row],[Tope I (AUX)]]-Matriz_Riesgos[[#This Row],[I_base (AUX)]]))</f>
        <v>0</v>
      </c>
      <c r="BG18" s="112">
        <f>IF(OR(Matriz_Riesgos[[#This Row],[Suma Residual redondeada (AUX)]]="",Matriz_Riesgos[[#This Row],[F_base (AUX)]]="",Matriz_Riesgos[[#This Row],[I_base (AUX)]]=""),"",MAX(0,Matriz_Riesgos[[#This Row],[Suma Residual redondeada (AUX)]]-(Matriz_Riesgos[[#This Row],[F_base (AUX)]]+Matriz_Riesgos[[#This Row],[I_base (AUX)]])))</f>
        <v>0</v>
      </c>
      <c r="BH18"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18"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18" s="112">
        <f>IF(OR(Matriz_Riesgos[[#This Row],[Resto (AUX)]]="",Matriz_Riesgos[[#This Row],[Capacidad F (AUX)]]="",Matriz_Riesgos[[#This Row],[Inc_I (AUX)]]=""),"",MIN(Matriz_Riesgos[[#This Row],[Capacidad F (AUX)]], MAX(0,Matriz_Riesgos[[#This Row],[Resto (AUX)]]-Matriz_Riesgos[[#This Row],[Inc_I (AUX)]])))</f>
        <v>0</v>
      </c>
      <c r="BK18" s="112">
        <f>IFERROR(MAX(ROUND(Matriz_Riesgos[[#This Row],[Frecuencia Residual (AUX)]]+Matriz_Riesgos[[#This Row],[Impacto Residual (AUX)]]-1+Matriz_Riesgos[[#This Row],[Efectividad Total Ponderada de los Controles]],0),1),"")</f>
        <v>8</v>
      </c>
      <c r="BL18" s="112">
        <f>IFERROR(Matriz_Riesgos[[#This Row],[Valor del Riesgo Residual]]-Matriz_Riesgos[[#This Row],[Valor del Riesgo Residual (AUX)]],"")</f>
        <v>0</v>
      </c>
      <c r="BM18" s="112">
        <f>IFERROR(Matriz_Riesgos[[#This Row],[Frecuencia Residual]]+Matriz_Riesgos[[#This Row],[Impacto Residual]]-1,"")</f>
        <v>8</v>
      </c>
      <c r="BN18" s="112">
        <f>IFERROR(Matriz_Riesgos[[#This Row],[Valor del Riesgo Residual]]-Matriz_Riesgos[[#This Row],[VRR 2]],"")</f>
        <v>0</v>
      </c>
      <c r="BO18" s="112">
        <f>IFERROR(Matriz_Riesgos[[#This Row],[Frecuencia]]-Matriz_Riesgos[[#This Row],[Frecuencia Residual]],"")</f>
        <v>0</v>
      </c>
      <c r="BP18" s="112">
        <f>IFERROR(Matriz_Riesgos[[#This Row],[Impacto]]-Matriz_Riesgos[[#This Row],[Impacto Residual]],"")</f>
        <v>0</v>
      </c>
      <c r="BQ18" s="112">
        <f>IFERROR(Matriz_Riesgos[[#This Row],[Valor del Riesgo Inherente]]-Matriz_Riesgos[[#This Row],[Valor del Riesgo Residual]],"")</f>
        <v>0</v>
      </c>
      <c r="BR18" s="103"/>
      <c r="BS18" s="103"/>
      <c r="BT18" s="103"/>
      <c r="BU18" s="103"/>
      <c r="BV18" s="103"/>
      <c r="BW18" s="103"/>
      <c r="BX18" s="103"/>
      <c r="BY18" s="103"/>
      <c r="BZ18" s="103"/>
      <c r="CA18" s="103"/>
      <c r="CB18" s="103"/>
      <c r="CC18" s="103"/>
      <c r="CD18" s="103"/>
    </row>
    <row r="19" spans="1:75" s="113" customFormat="1" ht="262.5" customHeight="1">
      <c r="A19" s="118">
        <v>18</v>
      </c>
      <c r="B19" s="102" t="inlineStr">
        <is>
          <t>ROTR-COMPRAS-18</t>
        </is>
      </c>
      <c r="C19" s="103" t="s">
        <v>331</v>
      </c>
      <c r="D19" s="104"/>
      <c r="E19" s="104" t="s">
        <v>186</v>
      </c>
      <c r="F19" s="119" t="s">
        <v>332</v>
      </c>
      <c r="G19" s="105"/>
      <c r="H19" s="103" t="s">
        <v>333</v>
      </c>
      <c r="I19" s="144" t="s">
        <v>334</v>
      </c>
      <c r="J19" s="104">
        <v>3</v>
      </c>
      <c r="K19" s="104">
        <v>5</v>
      </c>
      <c r="L19" s="102">
        <f>IF((Matriz_Riesgos[[#This Row],[Frecuencia]]+Matriz_Riesgos[[#This Row],[Impacto]]-1)=-1,"",Matriz_Riesgos[[#This Row],[Frecuencia]]+Matriz_Riesgos[[#This Row],[Impacto]]-1)</f>
        <v>7</v>
      </c>
      <c r="M19" s="102" t="str">
        <f>IFERROR(VLOOKUP(Matriz_Riesgos[[#This Row],[Valor del Riesgo Inherente]],t_nivel_riesgo[],2,FALSE), "")</f>
        <v>Riesgo Alto</v>
      </c>
      <c r="N19" s="103" t="s">
        <v>335</v>
      </c>
      <c r="O19" s="104" t="s">
        <v>190</v>
      </c>
      <c r="P19" s="103" t="s">
        <v>336</v>
      </c>
      <c r="Q19" s="106"/>
      <c r="R19" s="106"/>
      <c r="S19" s="106"/>
      <c r="T19" s="107" t="s">
        <v>337</v>
      </c>
      <c r="U19" s="108"/>
      <c r="V19" s="109"/>
      <c r="W19" s="110"/>
      <c r="X19" s="107" t="s">
        <v>338</v>
      </c>
      <c r="Y19" s="108"/>
      <c r="Z19" s="102"/>
      <c r="AA19" s="110"/>
      <c r="AB19" s="107" t="s">
        <v>339</v>
      </c>
      <c r="AC19" s="108"/>
      <c r="AD19" s="109"/>
      <c r="AE19" s="110"/>
      <c r="AF19" s="104"/>
      <c r="AG19" s="111">
        <f>IF(AND(T19="",X19="",AB19=""),"",('Otras Tablas'!$B$3*IF(W19="",0,W19)+'Otras Tablas'!$B$4*IF(AA19="",0,AA19)+'Otras Tablas'!$B$5*IF(AE19="",0,AE19)))</f>
      </c>
      <c r="AH19" s="102" t="str">
        <f>IF(Matriz_Riesgos[[#This Row],[Riesgo Inherente]]="","",Matriz_Riesgos[[#This Row],[Riesgo Inherente]])</f>
        <v>Riesgo de pago indebido a proveedores por bienes o servicios no recibidos o no ejecutados</v>
      </c>
      <c r="AI19"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19"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19" s="102">
        <f>IFERROR(ROUND(MAX(1,Matriz_Riesgos[[#This Row],[Valor del Riesgo Inherente]]*(1 - Matriz_Riesgos[[#This Row],[Efectividad Total Ponderada de los Controles]])),0), "")</f>
        <v>7</v>
      </c>
      <c r="AL19" s="102" t="str">
        <f>IFERROR(VLOOKUP(Matriz_Riesgos[[#This Row],[Valor del Riesgo Residual]],t_nivel_riesgo[],2,FALSE),"")</f>
        <v>Riesgo Alto</v>
      </c>
      <c r="AM19" s="104" t="s">
        <v>197</v>
      </c>
      <c r="AN19" s="105"/>
      <c r="AO19" s="103"/>
      <c r="AP19" s="103"/>
      <c r="AQ19" s="103"/>
      <c r="AR19" s="103"/>
      <c r="AS19" s="103"/>
      <c r="AT19" s="103"/>
      <c r="AU19" s="103"/>
      <c r="AV19" s="103"/>
      <c r="AW19" s="103"/>
      <c r="AX19" s="112">
        <f>IFERROR((1-Matriz_Riesgos[[#This Row],[Efectividad Total Ponderada de los Controles]])*Matriz_Riesgos[[#This Row],[Frecuencia]],"")</f>
        <v>3</v>
      </c>
      <c r="AY19" s="112">
        <f>IFERROR((1-Matriz_Riesgos[[#This Row],[Efectividad Total Ponderada de los Controles]])*Matriz_Riesgos[[#This Row],[Impacto]],"")</f>
        <v>5</v>
      </c>
      <c r="AZ19" s="112">
        <f>IFERROR(Matriz_Riesgos[[#This Row],[Valor del Riesgo Residual]] + 1, "")</f>
        <v>8</v>
      </c>
      <c r="BA19" s="112">
        <f>IFERROR(MAX(1, ROUNDDOWN(Matriz_Riesgos[[#This Row],[Frecuencia Residual (AUX)]],0)),"")</f>
        <v>3</v>
      </c>
      <c r="BB19" s="112">
        <f>IFERROR(MAX(1, ROUNDDOWN(Matriz_Riesgos[[#This Row],[Impacto Residual (AUX)]],0)),"")</f>
        <v>5</v>
      </c>
      <c r="BC19" s="112">
        <f>IF(Matriz_Riesgos[[#This Row],[Frecuencia]]="","",Matriz_Riesgos[[#This Row],[Frecuencia]])</f>
        <v>3</v>
      </c>
      <c r="BD19" s="112">
        <f>IF(Matriz_Riesgos[[#This Row],[Impacto]]="","",Matriz_Riesgos[[#This Row],[Impacto]])</f>
        <v>5</v>
      </c>
      <c r="BE19" s="112">
        <f>IF(OR(Matriz_Riesgos[[#This Row],[Tope F (AUX)]]="",Matriz_Riesgos[[#This Row],[F_base (AUX)]]=""),"",MAX(0,Matriz_Riesgos[[#This Row],[Tope F (AUX)]]-Matriz_Riesgos[[#This Row],[F_base (AUX)]]))</f>
        <v>0</v>
      </c>
      <c r="BF19" s="112">
        <f>IF(OR(Matriz_Riesgos[[#This Row],[Tope I (AUX)]]="",Matriz_Riesgos[[#This Row],[I_base (AUX)]]=""),"",MAX(0,Matriz_Riesgos[[#This Row],[Tope I (AUX)]]-Matriz_Riesgos[[#This Row],[I_base (AUX)]]))</f>
        <v>0</v>
      </c>
      <c r="BG19" s="112">
        <f>IF(OR(Matriz_Riesgos[[#This Row],[Suma Residual redondeada (AUX)]]="",Matriz_Riesgos[[#This Row],[F_base (AUX)]]="",Matriz_Riesgos[[#This Row],[I_base (AUX)]]=""),"",MAX(0,Matriz_Riesgos[[#This Row],[Suma Residual redondeada (AUX)]]-(Matriz_Riesgos[[#This Row],[F_base (AUX)]]+Matriz_Riesgos[[#This Row],[I_base (AUX)]])))</f>
        <v>0</v>
      </c>
      <c r="BH19"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19"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19" s="112">
        <f>IF(OR(Matriz_Riesgos[[#This Row],[Resto (AUX)]]="",Matriz_Riesgos[[#This Row],[Capacidad F (AUX)]]="",Matriz_Riesgos[[#This Row],[Inc_I (AUX)]]=""),"",MIN(Matriz_Riesgos[[#This Row],[Capacidad F (AUX)]], MAX(0,Matriz_Riesgos[[#This Row],[Resto (AUX)]]-Matriz_Riesgos[[#This Row],[Inc_I (AUX)]])))</f>
        <v>0</v>
      </c>
      <c r="BK19" s="112">
        <f>IFERROR(MAX(ROUND(Matriz_Riesgos[[#This Row],[Frecuencia Residual (AUX)]]+Matriz_Riesgos[[#This Row],[Impacto Residual (AUX)]]-1+Matriz_Riesgos[[#This Row],[Efectividad Total Ponderada de los Controles]],0),1),"")</f>
        <v>7</v>
      </c>
      <c r="BL19" s="112">
        <f>IFERROR(Matriz_Riesgos[[#This Row],[Valor del Riesgo Residual]]-Matriz_Riesgos[[#This Row],[Valor del Riesgo Residual (AUX)]],"")</f>
        <v>0</v>
      </c>
      <c r="BM19" s="112">
        <f>IFERROR(Matriz_Riesgos[[#This Row],[Frecuencia Residual]]+Matriz_Riesgos[[#This Row],[Impacto Residual]]-1,"")</f>
        <v>7</v>
      </c>
      <c r="BN19" s="112">
        <f>IFERROR(Matriz_Riesgos[[#This Row],[Valor del Riesgo Residual]]-Matriz_Riesgos[[#This Row],[VRR 2]],"")</f>
        <v>0</v>
      </c>
      <c r="BO19" s="112">
        <f>IFERROR(Matriz_Riesgos[[#This Row],[Frecuencia]]-Matriz_Riesgos[[#This Row],[Frecuencia Residual]],"")</f>
        <v>0</v>
      </c>
      <c r="BP19" s="112">
        <f>IFERROR(Matriz_Riesgos[[#This Row],[Impacto]]-Matriz_Riesgos[[#This Row],[Impacto Residual]],"")</f>
        <v>0</v>
      </c>
      <c r="BQ19" s="112">
        <f>IFERROR(Matriz_Riesgos[[#This Row],[Valor del Riesgo Inherente]]-Matriz_Riesgos[[#This Row],[Valor del Riesgo Residual]],"")</f>
        <v>0</v>
      </c>
      <c r="BR19" s="107" t="s">
        <v>340</v>
      </c>
      <c r="BS19" s="107"/>
      <c r="BT19" s="107"/>
      <c r="BU19" s="107"/>
      <c r="BV19" s="107"/>
      <c r="BW19" s="107"/>
      <c r="BX19" s="107"/>
      <c r="BY19" s="107"/>
      <c r="BZ19" s="107"/>
      <c r="CA19" s="107"/>
      <c r="CB19" s="107"/>
      <c r="CC19" s="107"/>
      <c r="CD19" s="107"/>
    </row>
    <row r="20" spans="1:75" s="113" customFormat="1" ht="213.75" customHeight="1">
      <c r="A20" s="118">
        <v>19</v>
      </c>
      <c r="B20" s="102" t="inlineStr">
        <is>
          <t>ROTR-RRHHTESORERI-19</t>
        </is>
      </c>
      <c r="C20" s="103" t="s">
        <v>341</v>
      </c>
      <c r="D20" s="104"/>
      <c r="E20" s="104" t="s">
        <v>186</v>
      </c>
      <c r="F20" s="103" t="s">
        <v>342</v>
      </c>
      <c r="G20" s="103"/>
      <c r="H20" s="103" t="s">
        <v>343</v>
      </c>
      <c r="I20" s="144" t="s">
        <v>344</v>
      </c>
      <c r="J20" s="104">
        <v>4</v>
      </c>
      <c r="K20" s="104">
        <v>4</v>
      </c>
      <c r="L20" s="102">
        <f>IF((Matriz_Riesgos[[#This Row],[Frecuencia]]+Matriz_Riesgos[[#This Row],[Impacto]]-1)=-1,"",Matriz_Riesgos[[#This Row],[Frecuencia]]+Matriz_Riesgos[[#This Row],[Impacto]]-1)</f>
        <v>7</v>
      </c>
      <c r="M20" s="102" t="str">
        <f>IFERROR(VLOOKUP(Matriz_Riesgos[[#This Row],[Valor del Riesgo Inherente]],t_nivel_riesgo[],2,FALSE), "")</f>
        <v>Riesgo Alto</v>
      </c>
      <c r="N20" s="103" t="s">
        <v>345</v>
      </c>
      <c r="O20" s="104" t="s">
        <v>190</v>
      </c>
      <c r="P20" s="103" t="s">
        <v>346</v>
      </c>
      <c r="Q20" s="106"/>
      <c r="R20" s="106"/>
      <c r="S20" s="106"/>
      <c r="T20" s="107" t="s">
        <v>347</v>
      </c>
      <c r="U20" s="108"/>
      <c r="V20" s="109"/>
      <c r="W20" s="110"/>
      <c r="X20" s="107" t="s">
        <v>348</v>
      </c>
      <c r="Y20" s="108"/>
      <c r="Z20" s="102"/>
      <c r="AA20" s="110"/>
      <c r="AB20" s="107" t="s">
        <v>349</v>
      </c>
      <c r="AC20" s="108"/>
      <c r="AD20" s="109"/>
      <c r="AE20" s="110"/>
      <c r="AF20" s="104"/>
      <c r="AG20" s="111">
        <f>IF(AND(T20="",X20="",AB20=""),"",('Otras Tablas'!$B$3*IF(W20="",0,W20)+'Otras Tablas'!$B$4*IF(AA20="",0,AA20)+'Otras Tablas'!$B$5*IF(AE20="",0,AE20)))</f>
      </c>
      <c r="AH20" s="102" t="str">
        <f>IF(Matriz_Riesgos[[#This Row],[Riesgo Inherente]]="","",Matriz_Riesgos[[#This Row],[Riesgo Inherente]])</f>
        <v>Riesgo de pagos indebidos a través de planilla a una misma cuenta bancaria</v>
      </c>
      <c r="AI20"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4</v>
      </c>
      <c r="AJ20"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4</v>
      </c>
      <c r="AK20" s="102">
        <f>IFERROR(ROUND(MAX(1,Matriz_Riesgos[[#This Row],[Valor del Riesgo Inherente]]*(1 - Matriz_Riesgos[[#This Row],[Efectividad Total Ponderada de los Controles]])),0), "")</f>
        <v>7</v>
      </c>
      <c r="AL20" s="102" t="str">
        <f>IFERROR(VLOOKUP(Matriz_Riesgos[[#This Row],[Valor del Riesgo Residual]],t_nivel_riesgo[],2,FALSE),"")</f>
        <v>Riesgo Alto</v>
      </c>
      <c r="AM20" s="104" t="s">
        <v>197</v>
      </c>
      <c r="AN20" s="105"/>
      <c r="AO20" s="103"/>
      <c r="AP20" s="103"/>
      <c r="AQ20" s="103"/>
      <c r="AR20" s="103"/>
      <c r="AS20" s="103"/>
      <c r="AT20" s="103"/>
      <c r="AU20" s="103"/>
      <c r="AV20" s="103"/>
      <c r="AW20" s="103"/>
      <c r="AX20" s="112">
        <f>IFERROR((1-Matriz_Riesgos[[#This Row],[Efectividad Total Ponderada de los Controles]])*Matriz_Riesgos[[#This Row],[Frecuencia]],"")</f>
        <v>4</v>
      </c>
      <c r="AY20" s="112">
        <f>IFERROR((1-Matriz_Riesgos[[#This Row],[Efectividad Total Ponderada de los Controles]])*Matriz_Riesgos[[#This Row],[Impacto]],"")</f>
        <v>4</v>
      </c>
      <c r="AZ20" s="112">
        <f>IFERROR(Matriz_Riesgos[[#This Row],[Valor del Riesgo Residual]] + 1, "")</f>
        <v>8</v>
      </c>
      <c r="BA20" s="112">
        <f>IFERROR(MAX(1, ROUNDDOWN(Matriz_Riesgos[[#This Row],[Frecuencia Residual (AUX)]],0)),"")</f>
        <v>4</v>
      </c>
      <c r="BB20" s="112">
        <f>IFERROR(MAX(1, ROUNDDOWN(Matriz_Riesgos[[#This Row],[Impacto Residual (AUX)]],0)),"")</f>
        <v>4</v>
      </c>
      <c r="BC20" s="112">
        <f>IF(Matriz_Riesgos[[#This Row],[Frecuencia]]="","",Matriz_Riesgos[[#This Row],[Frecuencia]])</f>
        <v>4</v>
      </c>
      <c r="BD20" s="112">
        <f>IF(Matriz_Riesgos[[#This Row],[Impacto]]="","",Matriz_Riesgos[[#This Row],[Impacto]])</f>
        <v>4</v>
      </c>
      <c r="BE20" s="112">
        <f>IF(OR(Matriz_Riesgos[[#This Row],[Tope F (AUX)]]="",Matriz_Riesgos[[#This Row],[F_base (AUX)]]=""),"",MAX(0,Matriz_Riesgos[[#This Row],[Tope F (AUX)]]-Matriz_Riesgos[[#This Row],[F_base (AUX)]]))</f>
        <v>0</v>
      </c>
      <c r="BF20" s="112">
        <f>IF(OR(Matriz_Riesgos[[#This Row],[Tope I (AUX)]]="",Matriz_Riesgos[[#This Row],[I_base (AUX)]]=""),"",MAX(0,Matriz_Riesgos[[#This Row],[Tope I (AUX)]]-Matriz_Riesgos[[#This Row],[I_base (AUX)]]))</f>
        <v>0</v>
      </c>
      <c r="BG20" s="112">
        <f>IF(OR(Matriz_Riesgos[[#This Row],[Suma Residual redondeada (AUX)]]="",Matriz_Riesgos[[#This Row],[F_base (AUX)]]="",Matriz_Riesgos[[#This Row],[I_base (AUX)]]=""),"",MAX(0,Matriz_Riesgos[[#This Row],[Suma Residual redondeada (AUX)]]-(Matriz_Riesgos[[#This Row],[F_base (AUX)]]+Matriz_Riesgos[[#This Row],[I_base (AUX)]])))</f>
        <v>0</v>
      </c>
      <c r="BH20"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20"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20" s="112">
        <f>IF(OR(Matriz_Riesgos[[#This Row],[Resto (AUX)]]="",Matriz_Riesgos[[#This Row],[Capacidad F (AUX)]]="",Matriz_Riesgos[[#This Row],[Inc_I (AUX)]]=""),"",MIN(Matriz_Riesgos[[#This Row],[Capacidad F (AUX)]], MAX(0,Matriz_Riesgos[[#This Row],[Resto (AUX)]]-Matriz_Riesgos[[#This Row],[Inc_I (AUX)]])))</f>
        <v>0</v>
      </c>
      <c r="BK20" s="112">
        <f>IFERROR(MAX(ROUND(Matriz_Riesgos[[#This Row],[Frecuencia Residual (AUX)]]+Matriz_Riesgos[[#This Row],[Impacto Residual (AUX)]]-1+Matriz_Riesgos[[#This Row],[Efectividad Total Ponderada de los Controles]],0),1),"")</f>
        <v>7</v>
      </c>
      <c r="BL20" s="112">
        <f>IFERROR(Matriz_Riesgos[[#This Row],[Valor del Riesgo Residual]]-Matriz_Riesgos[[#This Row],[Valor del Riesgo Residual (AUX)]],"")</f>
        <v>0</v>
      </c>
      <c r="BM20" s="112">
        <f>IFERROR(Matriz_Riesgos[[#This Row],[Frecuencia Residual]]+Matriz_Riesgos[[#This Row],[Impacto Residual]]-1,"")</f>
        <v>7</v>
      </c>
      <c r="BN20" s="112">
        <f>IFERROR(Matriz_Riesgos[[#This Row],[Valor del Riesgo Residual]]-Matriz_Riesgos[[#This Row],[VRR 2]],"")</f>
        <v>0</v>
      </c>
      <c r="BO20" s="112">
        <f>IFERROR(Matriz_Riesgos[[#This Row],[Frecuencia]]-Matriz_Riesgos[[#This Row],[Frecuencia Residual]],"")</f>
        <v>0</v>
      </c>
      <c r="BP20" s="112">
        <f>IFERROR(Matriz_Riesgos[[#This Row],[Impacto]]-Matriz_Riesgos[[#This Row],[Impacto Residual]],"")</f>
        <v>0</v>
      </c>
      <c r="BQ20" s="112">
        <f>IFERROR(Matriz_Riesgos[[#This Row],[Valor del Riesgo Inherente]]-Matriz_Riesgos[[#This Row],[Valor del Riesgo Residual]],"")</f>
        <v>0</v>
      </c>
      <c r="BR20" s="107" t="s">
        <v>350</v>
      </c>
      <c r="BS20" s="107"/>
      <c r="BT20" s="107"/>
      <c r="BU20" s="107"/>
      <c r="BV20" s="107"/>
      <c r="BW20" s="107"/>
      <c r="BX20" s="107"/>
      <c r="BY20" s="107"/>
      <c r="BZ20" s="107"/>
      <c r="CA20" s="107"/>
      <c r="CB20" s="107"/>
      <c r="CC20" s="107"/>
      <c r="CD20" s="107"/>
    </row>
    <row r="21" spans="1:75" s="113" customFormat="1" ht="322.5" customHeight="1">
      <c r="A21" s="118">
        <v>20</v>
      </c>
      <c r="B21" s="102" t="inlineStr">
        <is>
          <t>ROTR-COMPRASTESOR-20</t>
        </is>
      </c>
      <c r="C21" s="103" t="s">
        <v>351</v>
      </c>
      <c r="D21" s="104"/>
      <c r="E21" s="104" t="s">
        <v>186</v>
      </c>
      <c r="F21" s="103" t="s">
        <v>352</v>
      </c>
      <c r="G21" s="105"/>
      <c r="H21" s="103" t="s">
        <v>353</v>
      </c>
      <c r="I21" s="144" t="s">
        <v>354</v>
      </c>
      <c r="J21" s="104">
        <v>3</v>
      </c>
      <c r="K21" s="104">
        <v>5</v>
      </c>
      <c r="L21" s="102">
        <f>IF((Matriz_Riesgos[[#This Row],[Frecuencia]]+Matriz_Riesgos[[#This Row],[Impacto]]-1)=-1,"",Matriz_Riesgos[[#This Row],[Frecuencia]]+Matriz_Riesgos[[#This Row],[Impacto]]-1)</f>
        <v>7</v>
      </c>
      <c r="M21" s="102" t="str">
        <f>IFERROR(VLOOKUP(Matriz_Riesgos[[#This Row],[Valor del Riesgo Inherente]],t_nivel_riesgo[],2,FALSE), "")</f>
        <v>Riesgo Alto</v>
      </c>
      <c r="N21" s="103" t="s">
        <v>355</v>
      </c>
      <c r="O21" s="104" t="s">
        <v>190</v>
      </c>
      <c r="P21" s="103" t="s">
        <v>356</v>
      </c>
      <c r="Q21" s="106"/>
      <c r="R21" s="106"/>
      <c r="S21" s="106"/>
      <c r="T21" s="107" t="s">
        <v>357</v>
      </c>
      <c r="U21" s="108"/>
      <c r="V21" s="109"/>
      <c r="W21" s="110"/>
      <c r="X21" s="103" t="s">
        <v>358</v>
      </c>
      <c r="Y21" s="108"/>
      <c r="Z21" s="102"/>
      <c r="AA21" s="110"/>
      <c r="AB21" s="107" t="s">
        <v>359</v>
      </c>
      <c r="AC21" s="108"/>
      <c r="AD21" s="109"/>
      <c r="AE21" s="110"/>
      <c r="AF21" s="104"/>
      <c r="AG21" s="111">
        <f>IF(AND(T21="",X21="",AB21=""),"",('Otras Tablas'!$B$3*IF(W21="",0,W21)+'Otras Tablas'!$B$4*IF(AA21="",0,AA21)+'Otras Tablas'!$B$5*IF(AE21="",0,AE21)))</f>
      </c>
      <c r="AH21" s="102" t="str">
        <f>IF(Matriz_Riesgos[[#This Row],[Riesgo Inherente]]="","",Matriz_Riesgos[[#This Row],[Riesgo Inherente]])</f>
        <v>Pagos indebidos por ejecución anticipada sin soporte o incumpliendo condiciones contractuales</v>
      </c>
      <c r="AI21"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21"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21" s="102">
        <f>IFERROR(ROUND(MAX(1,Matriz_Riesgos[[#This Row],[Valor del Riesgo Inherente]]*(1 - Matriz_Riesgos[[#This Row],[Efectividad Total Ponderada de los Controles]])),0), "")</f>
        <v>7</v>
      </c>
      <c r="AL21" s="102" t="str">
        <f>IFERROR(VLOOKUP(Matriz_Riesgos[[#This Row],[Valor del Riesgo Residual]],t_nivel_riesgo[],2,FALSE),"")</f>
        <v>Riesgo Alto</v>
      </c>
      <c r="AM21" s="104" t="s">
        <v>197</v>
      </c>
      <c r="AN21" s="105"/>
      <c r="AO21" s="103"/>
      <c r="AP21" s="103"/>
      <c r="AQ21" s="103"/>
      <c r="AR21" s="103"/>
      <c r="AS21" s="103"/>
      <c r="AT21" s="103"/>
      <c r="AU21" s="103"/>
      <c r="AV21" s="103"/>
      <c r="AW21" s="103"/>
      <c r="AX21" s="112">
        <f>IFERROR((1-Matriz_Riesgos[[#This Row],[Efectividad Total Ponderada de los Controles]])*Matriz_Riesgos[[#This Row],[Frecuencia]],"")</f>
        <v>3</v>
      </c>
      <c r="AY21" s="112">
        <f>IFERROR((1-Matriz_Riesgos[[#This Row],[Efectividad Total Ponderada de los Controles]])*Matriz_Riesgos[[#This Row],[Impacto]],"")</f>
        <v>5</v>
      </c>
      <c r="AZ21" s="112">
        <f>IFERROR(Matriz_Riesgos[[#This Row],[Valor del Riesgo Residual]] + 1, "")</f>
        <v>8</v>
      </c>
      <c r="BA21" s="112">
        <f>IFERROR(MAX(1, ROUNDDOWN(Matriz_Riesgos[[#This Row],[Frecuencia Residual (AUX)]],0)),"")</f>
        <v>3</v>
      </c>
      <c r="BB21" s="112">
        <f>IFERROR(MAX(1, ROUNDDOWN(Matriz_Riesgos[[#This Row],[Impacto Residual (AUX)]],0)),"")</f>
        <v>5</v>
      </c>
      <c r="BC21" s="112">
        <f>IF(Matriz_Riesgos[[#This Row],[Frecuencia]]="","",Matriz_Riesgos[[#This Row],[Frecuencia]])</f>
        <v>3</v>
      </c>
      <c r="BD21" s="112">
        <f>IF(Matriz_Riesgos[[#This Row],[Impacto]]="","",Matriz_Riesgos[[#This Row],[Impacto]])</f>
        <v>5</v>
      </c>
      <c r="BE21" s="112">
        <f>IF(OR(Matriz_Riesgos[[#This Row],[Tope F (AUX)]]="",Matriz_Riesgos[[#This Row],[F_base (AUX)]]=""),"",MAX(0,Matriz_Riesgos[[#This Row],[Tope F (AUX)]]-Matriz_Riesgos[[#This Row],[F_base (AUX)]]))</f>
        <v>0</v>
      </c>
      <c r="BF21" s="112">
        <f>IF(OR(Matriz_Riesgos[[#This Row],[Tope I (AUX)]]="",Matriz_Riesgos[[#This Row],[I_base (AUX)]]=""),"",MAX(0,Matriz_Riesgos[[#This Row],[Tope I (AUX)]]-Matriz_Riesgos[[#This Row],[I_base (AUX)]]))</f>
        <v>0</v>
      </c>
      <c r="BG21" s="112">
        <f>IF(OR(Matriz_Riesgos[[#This Row],[Suma Residual redondeada (AUX)]]="",Matriz_Riesgos[[#This Row],[F_base (AUX)]]="",Matriz_Riesgos[[#This Row],[I_base (AUX)]]=""),"",MAX(0,Matriz_Riesgos[[#This Row],[Suma Residual redondeada (AUX)]]-(Matriz_Riesgos[[#This Row],[F_base (AUX)]]+Matriz_Riesgos[[#This Row],[I_base (AUX)]])))</f>
        <v>0</v>
      </c>
      <c r="BH21"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21"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21" s="112">
        <f>IF(OR(Matriz_Riesgos[[#This Row],[Resto (AUX)]]="",Matriz_Riesgos[[#This Row],[Capacidad F (AUX)]]="",Matriz_Riesgos[[#This Row],[Inc_I (AUX)]]=""),"",MIN(Matriz_Riesgos[[#This Row],[Capacidad F (AUX)]], MAX(0,Matriz_Riesgos[[#This Row],[Resto (AUX)]]-Matriz_Riesgos[[#This Row],[Inc_I (AUX)]])))</f>
        <v>0</v>
      </c>
      <c r="BK21" s="112">
        <f>IFERROR(MAX(ROUND(Matriz_Riesgos[[#This Row],[Frecuencia Residual (AUX)]]+Matriz_Riesgos[[#This Row],[Impacto Residual (AUX)]]-1+Matriz_Riesgos[[#This Row],[Efectividad Total Ponderada de los Controles]],0),1),"")</f>
        <v>7</v>
      </c>
      <c r="BL21" s="112">
        <f>IFERROR(Matriz_Riesgos[[#This Row],[Valor del Riesgo Residual]]-Matriz_Riesgos[[#This Row],[Valor del Riesgo Residual (AUX)]],"")</f>
        <v>0</v>
      </c>
      <c r="BM21" s="112">
        <f>IFERROR(Matriz_Riesgos[[#This Row],[Frecuencia Residual]]+Matriz_Riesgos[[#This Row],[Impacto Residual]]-1,"")</f>
        <v>7</v>
      </c>
      <c r="BN21" s="112">
        <f>IFERROR(Matriz_Riesgos[[#This Row],[Valor del Riesgo Residual]]-Matriz_Riesgos[[#This Row],[VRR 2]],"")</f>
        <v>0</v>
      </c>
      <c r="BO21" s="112">
        <f>IFERROR(Matriz_Riesgos[[#This Row],[Frecuencia]]-Matriz_Riesgos[[#This Row],[Frecuencia Residual]],"")</f>
        <v>0</v>
      </c>
      <c r="BP21" s="112">
        <f>IFERROR(Matriz_Riesgos[[#This Row],[Impacto]]-Matriz_Riesgos[[#This Row],[Impacto Residual]],"")</f>
        <v>0</v>
      </c>
      <c r="BQ21" s="112">
        <f>IFERROR(Matriz_Riesgos[[#This Row],[Valor del Riesgo Inherente]]-Matriz_Riesgos[[#This Row],[Valor del Riesgo Residual]],"")</f>
        <v>0</v>
      </c>
      <c r="BR21" s="107" t="s">
        <v>360</v>
      </c>
      <c r="BS21" s="107"/>
      <c r="BT21" s="107"/>
      <c r="BU21" s="107"/>
      <c r="BV21" s="107"/>
      <c r="BW21" s="107"/>
      <c r="BX21" s="107"/>
      <c r="BY21" s="107"/>
      <c r="BZ21" s="107"/>
      <c r="CA21" s="107"/>
      <c r="CB21" s="107"/>
      <c r="CC21" s="107"/>
      <c r="CD21" s="107"/>
    </row>
    <row r="22" spans="1:75" s="113" customFormat="1" ht="320.25" customHeight="1">
      <c r="A22" s="118">
        <v>21</v>
      </c>
      <c r="B22" s="102" t="inlineStr">
        <is>
          <t>ROTR-COMPRASGAYF-21</t>
        </is>
      </c>
      <c r="C22" s="103" t="s">
        <v>361</v>
      </c>
      <c r="D22" s="104"/>
      <c r="E22" s="104" t="s">
        <v>186</v>
      </c>
      <c r="F22" s="103" t="s">
        <v>331</v>
      </c>
      <c r="G22" s="105"/>
      <c r="H22" s="103" t="s">
        <v>362</v>
      </c>
      <c r="I22" s="144" t="s">
        <v>363</v>
      </c>
      <c r="J22" s="104">
        <v>2</v>
      </c>
      <c r="K22" s="104">
        <v>5</v>
      </c>
      <c r="L22" s="102">
        <f>IF((Matriz_Riesgos[[#This Row],[Frecuencia]]+Matriz_Riesgos[[#This Row],[Impacto]]-1)=-1,"",Matriz_Riesgos[[#This Row],[Frecuencia]]+Matriz_Riesgos[[#This Row],[Impacto]]-1)</f>
        <v>6</v>
      </c>
      <c r="M22" s="102" t="str">
        <f>IFERROR(VLOOKUP(Matriz_Riesgos[[#This Row],[Valor del Riesgo Inherente]],t_nivel_riesgo[],2,FALSE), "")</f>
        <v>Riesgo Alto</v>
      </c>
      <c r="N22" s="103" t="s">
        <v>331</v>
      </c>
      <c r="O22" s="104" t="s">
        <v>190</v>
      </c>
      <c r="P22" s="103" t="s">
        <v>364</v>
      </c>
      <c r="Q22" s="106"/>
      <c r="R22" s="106"/>
      <c r="S22" s="106"/>
      <c r="T22" s="107" t="s">
        <v>365</v>
      </c>
      <c r="U22" s="108"/>
      <c r="V22" s="109"/>
      <c r="W22" s="110"/>
      <c r="X22" s="107" t="s">
        <v>366</v>
      </c>
      <c r="Y22" s="108"/>
      <c r="Z22" s="102"/>
      <c r="AA22" s="110"/>
      <c r="AB22" s="107" t="s">
        <v>367</v>
      </c>
      <c r="AC22" s="108"/>
      <c r="AD22" s="109"/>
      <c r="AE22" s="110"/>
      <c r="AF22" s="104"/>
      <c r="AG22" s="111">
        <f>IF(AND(T22="",X22="",AB22=""),"",('Otras Tablas'!$B$3*IF(W22="",0,W22)+'Otras Tablas'!$B$4*IF(AA22="",0,AA22)+'Otras Tablas'!$B$5*IF(AE22="",0,AE22)))</f>
      </c>
      <c r="AH22" s="102" t="str">
        <f>IF(Matriz_Riesgos[[#This Row],[Riesgo Inherente]]="","",Matriz_Riesgos[[#This Row],[Riesgo Inherente]])</f>
        <v>Fraccionamiento recurrente de compras</v>
      </c>
      <c r="AI22"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2</v>
      </c>
      <c r="AJ22"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22" s="102">
        <f>IFERROR(ROUND(MAX(1,Matriz_Riesgos[[#This Row],[Valor del Riesgo Inherente]]*(1 - Matriz_Riesgos[[#This Row],[Efectividad Total Ponderada de los Controles]])),0), "")</f>
        <v>6</v>
      </c>
      <c r="AL22" s="102" t="str">
        <f>IFERROR(VLOOKUP(Matriz_Riesgos[[#This Row],[Valor del Riesgo Residual]],t_nivel_riesgo[],2,FALSE),"")</f>
        <v>Riesgo Alto</v>
      </c>
      <c r="AM22" s="104" t="s">
        <v>197</v>
      </c>
      <c r="AN22" s="105" t="s">
        <v>368</v>
      </c>
      <c r="AO22" s="103"/>
      <c r="AP22" s="103"/>
      <c r="AQ22" s="103"/>
      <c r="AR22" s="103"/>
      <c r="AS22" s="103"/>
      <c r="AT22" s="103"/>
      <c r="AU22" s="103"/>
      <c r="AV22" s="103"/>
      <c r="AW22" s="103"/>
      <c r="AX22" s="112">
        <f>IFERROR((1-Matriz_Riesgos[[#This Row],[Efectividad Total Ponderada de los Controles]])*Matriz_Riesgos[[#This Row],[Frecuencia]],"")</f>
        <v>2</v>
      </c>
      <c r="AY22" s="112">
        <f>IFERROR((1-Matriz_Riesgos[[#This Row],[Efectividad Total Ponderada de los Controles]])*Matriz_Riesgos[[#This Row],[Impacto]],"")</f>
        <v>5</v>
      </c>
      <c r="AZ22" s="112">
        <f>IFERROR(Matriz_Riesgos[[#This Row],[Valor del Riesgo Residual]] + 1, "")</f>
        <v>7</v>
      </c>
      <c r="BA22" s="112">
        <f>IFERROR(MAX(1, ROUNDDOWN(Matriz_Riesgos[[#This Row],[Frecuencia Residual (AUX)]],0)),"")</f>
        <v>2</v>
      </c>
      <c r="BB22" s="112">
        <f>IFERROR(MAX(1, ROUNDDOWN(Matriz_Riesgos[[#This Row],[Impacto Residual (AUX)]],0)),"")</f>
        <v>5</v>
      </c>
      <c r="BC22" s="112">
        <f>IF(Matriz_Riesgos[[#This Row],[Frecuencia]]="","",Matriz_Riesgos[[#This Row],[Frecuencia]])</f>
        <v>2</v>
      </c>
      <c r="BD22" s="112">
        <f>IF(Matriz_Riesgos[[#This Row],[Impacto]]="","",Matriz_Riesgos[[#This Row],[Impacto]])</f>
        <v>5</v>
      </c>
      <c r="BE22" s="112">
        <f>IF(OR(Matriz_Riesgos[[#This Row],[Tope F (AUX)]]="",Matriz_Riesgos[[#This Row],[F_base (AUX)]]=""),"",MAX(0,Matriz_Riesgos[[#This Row],[Tope F (AUX)]]-Matriz_Riesgos[[#This Row],[F_base (AUX)]]))</f>
        <v>0</v>
      </c>
      <c r="BF22" s="112">
        <f>IF(OR(Matriz_Riesgos[[#This Row],[Tope I (AUX)]]="",Matriz_Riesgos[[#This Row],[I_base (AUX)]]=""),"",MAX(0,Matriz_Riesgos[[#This Row],[Tope I (AUX)]]-Matriz_Riesgos[[#This Row],[I_base (AUX)]]))</f>
        <v>0</v>
      </c>
      <c r="BG22" s="112">
        <f>IF(OR(Matriz_Riesgos[[#This Row],[Suma Residual redondeada (AUX)]]="",Matriz_Riesgos[[#This Row],[F_base (AUX)]]="",Matriz_Riesgos[[#This Row],[I_base (AUX)]]=""),"",MAX(0,Matriz_Riesgos[[#This Row],[Suma Residual redondeada (AUX)]]-(Matriz_Riesgos[[#This Row],[F_base (AUX)]]+Matriz_Riesgos[[#This Row],[I_base (AUX)]])))</f>
        <v>0</v>
      </c>
      <c r="BH22"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22"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22" s="112">
        <f>IF(OR(Matriz_Riesgos[[#This Row],[Resto (AUX)]]="",Matriz_Riesgos[[#This Row],[Capacidad F (AUX)]]="",Matriz_Riesgos[[#This Row],[Inc_I (AUX)]]=""),"",MIN(Matriz_Riesgos[[#This Row],[Capacidad F (AUX)]], MAX(0,Matriz_Riesgos[[#This Row],[Resto (AUX)]]-Matriz_Riesgos[[#This Row],[Inc_I (AUX)]])))</f>
        <v>0</v>
      </c>
      <c r="BK22" s="112">
        <f>IFERROR(MAX(ROUND(Matriz_Riesgos[[#This Row],[Frecuencia Residual (AUX)]]+Matriz_Riesgos[[#This Row],[Impacto Residual (AUX)]]-1+Matriz_Riesgos[[#This Row],[Efectividad Total Ponderada de los Controles]],0),1),"")</f>
        <v>6</v>
      </c>
      <c r="BL22" s="112">
        <f>IFERROR(Matriz_Riesgos[[#This Row],[Valor del Riesgo Residual]]-Matriz_Riesgos[[#This Row],[Valor del Riesgo Residual (AUX)]],"")</f>
        <v>0</v>
      </c>
      <c r="BM22" s="112">
        <f>IFERROR(Matriz_Riesgos[[#This Row],[Frecuencia Residual]]+Matriz_Riesgos[[#This Row],[Impacto Residual]]-1,"")</f>
        <v>6</v>
      </c>
      <c r="BN22" s="112">
        <f>IFERROR(Matriz_Riesgos[[#This Row],[Valor del Riesgo Residual]]-Matriz_Riesgos[[#This Row],[VRR 2]],"")</f>
        <v>0</v>
      </c>
      <c r="BO22" s="112">
        <f>IFERROR(Matriz_Riesgos[[#This Row],[Frecuencia]]-Matriz_Riesgos[[#This Row],[Frecuencia Residual]],"")</f>
        <v>0</v>
      </c>
      <c r="BP22" s="112">
        <f>IFERROR(Matriz_Riesgos[[#This Row],[Impacto]]-Matriz_Riesgos[[#This Row],[Impacto Residual]],"")</f>
        <v>0</v>
      </c>
      <c r="BQ22" s="112">
        <f>IFERROR(Matriz_Riesgos[[#This Row],[Valor del Riesgo Inherente]]-Matriz_Riesgos[[#This Row],[Valor del Riesgo Residual]],"")</f>
        <v>0</v>
      </c>
      <c r="BR22" s="107" t="s">
        <v>369</v>
      </c>
      <c r="BS22" s="107"/>
      <c r="BT22" s="107"/>
      <c r="BU22" s="107"/>
      <c r="BV22" s="107"/>
      <c r="BW22" s="107"/>
      <c r="BX22" s="107"/>
      <c r="BY22" s="107"/>
      <c r="BZ22" s="107"/>
      <c r="CA22" s="107"/>
      <c r="CB22" s="107"/>
      <c r="CC22" s="107"/>
      <c r="CD22" s="107"/>
    </row>
    <row r="23" spans="1:75" s="113" customFormat="1" ht="310.5" customHeight="1">
      <c r="A23" s="101">
        <v>22</v>
      </c>
      <c r="B23" s="102" t="inlineStr">
        <is>
          <t>ROTR-USIGTICTRANS-22</t>
        </is>
      </c>
      <c r="C23" s="103" t="s">
        <v>370</v>
      </c>
      <c r="D23" s="104"/>
      <c r="E23" s="104" t="s">
        <v>186</v>
      </c>
      <c r="F23" s="103" t="s">
        <v>371</v>
      </c>
      <c r="G23" s="105"/>
      <c r="H23" s="103" t="s">
        <v>372</v>
      </c>
      <c r="I23" s="144" t="s">
        <v>373</v>
      </c>
      <c r="J23" s="104">
        <v>3</v>
      </c>
      <c r="K23" s="104">
        <v>5</v>
      </c>
      <c r="L23" s="102">
        <f>IF((Matriz_Riesgos[[#This Row],[Frecuencia]]+Matriz_Riesgos[[#This Row],[Impacto]]-1)=-1,"",Matriz_Riesgos[[#This Row],[Frecuencia]]+Matriz_Riesgos[[#This Row],[Impacto]]-1)</f>
        <v>7</v>
      </c>
      <c r="M23" s="102" t="str">
        <f>IFERROR(VLOOKUP(Matriz_Riesgos[[#This Row],[Valor del Riesgo Inherente]],t_nivel_riesgo[],2,FALSE), "")</f>
        <v>Riesgo Alto</v>
      </c>
      <c r="N23" s="103" t="s">
        <v>374</v>
      </c>
      <c r="O23" s="104" t="s">
        <v>190</v>
      </c>
      <c r="P23" s="103" t="s">
        <v>375</v>
      </c>
      <c r="Q23" s="106"/>
      <c r="R23" s="106"/>
      <c r="S23" s="106"/>
      <c r="T23" s="107" t="s">
        <v>376</v>
      </c>
      <c r="U23" s="108"/>
      <c r="V23" s="109"/>
      <c r="W23" s="110"/>
      <c r="X23" s="107" t="s">
        <v>377</v>
      </c>
      <c r="Y23" s="108"/>
      <c r="Z23" s="102"/>
      <c r="AA23" s="110"/>
      <c r="AB23" s="107" t="s">
        <v>378</v>
      </c>
      <c r="AC23" s="108"/>
      <c r="AD23" s="109"/>
      <c r="AE23" s="110"/>
      <c r="AF23" s="104"/>
      <c r="AG23" s="111">
        <f>IF(AND(T23="",X23="",AB23=""),"",('Otras Tablas'!$B$3*IF(W23="",0,W23)+'Otras Tablas'!$B$4*IF(AA23="",0,AA23)+'Otras Tablas'!$B$5*IF(AE23="",0,AE23)))</f>
      </c>
      <c r="AH23" s="102" t="str">
        <f>IF(Matriz_Riesgos[[#This Row],[Riesgo Inherente]]="","",Matriz_Riesgos[[#This Row],[Riesgo Inherente]])</f>
        <v>Divulgación indebida de información confidencial</v>
      </c>
      <c r="AI23"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23"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23" s="102">
        <f>IFERROR(ROUND(MAX(1,Matriz_Riesgos[[#This Row],[Valor del Riesgo Inherente]]*(1 - Matriz_Riesgos[[#This Row],[Efectividad Total Ponderada de los Controles]])),0), "")</f>
        <v>7</v>
      </c>
      <c r="AL23" s="102" t="str">
        <f>IFERROR(VLOOKUP(Matriz_Riesgos[[#This Row],[Valor del Riesgo Residual]],t_nivel_riesgo[],2,FALSE),"")</f>
        <v>Riesgo Alto</v>
      </c>
      <c r="AM23" s="104" t="s">
        <v>197</v>
      </c>
      <c r="AN23" s="105" t="s">
        <v>379</v>
      </c>
      <c r="AO23" s="103"/>
      <c r="AP23" s="103"/>
      <c r="AQ23" s="103"/>
      <c r="AR23" s="103"/>
      <c r="AS23" s="103"/>
      <c r="AT23" s="103"/>
      <c r="AU23" s="103"/>
      <c r="AV23" s="103"/>
      <c r="AW23" s="103"/>
      <c r="AX23" s="112">
        <f>IFERROR((1-Matriz_Riesgos[[#This Row],[Efectividad Total Ponderada de los Controles]])*Matriz_Riesgos[[#This Row],[Frecuencia]],"")</f>
        <v>3</v>
      </c>
      <c r="AY23" s="112">
        <f>IFERROR((1-Matriz_Riesgos[[#This Row],[Efectividad Total Ponderada de los Controles]])*Matriz_Riesgos[[#This Row],[Impacto]],"")</f>
        <v>5</v>
      </c>
      <c r="AZ23" s="112">
        <f>IFERROR(Matriz_Riesgos[[#This Row],[Valor del Riesgo Residual]] + 1, "")</f>
        <v>8</v>
      </c>
      <c r="BA23" s="112">
        <f>IFERROR(MAX(1, ROUNDDOWN(Matriz_Riesgos[[#This Row],[Frecuencia Residual (AUX)]],0)),"")</f>
        <v>3</v>
      </c>
      <c r="BB23" s="112">
        <f>IFERROR(MAX(1, ROUNDDOWN(Matriz_Riesgos[[#This Row],[Impacto Residual (AUX)]],0)),"")</f>
        <v>5</v>
      </c>
      <c r="BC23" s="112">
        <f>IF(Matriz_Riesgos[[#This Row],[Frecuencia]]="","",Matriz_Riesgos[[#This Row],[Frecuencia]])</f>
        <v>3</v>
      </c>
      <c r="BD23" s="112">
        <f>IF(Matriz_Riesgos[[#This Row],[Impacto]]="","",Matriz_Riesgos[[#This Row],[Impacto]])</f>
        <v>5</v>
      </c>
      <c r="BE23" s="112">
        <f>IF(OR(Matriz_Riesgos[[#This Row],[Tope F (AUX)]]="",Matriz_Riesgos[[#This Row],[F_base (AUX)]]=""),"",MAX(0,Matriz_Riesgos[[#This Row],[Tope F (AUX)]]-Matriz_Riesgos[[#This Row],[F_base (AUX)]]))</f>
        <v>0</v>
      </c>
      <c r="BF23" s="112">
        <f>IF(OR(Matriz_Riesgos[[#This Row],[Tope I (AUX)]]="",Matriz_Riesgos[[#This Row],[I_base (AUX)]]=""),"",MAX(0,Matriz_Riesgos[[#This Row],[Tope I (AUX)]]-Matriz_Riesgos[[#This Row],[I_base (AUX)]]))</f>
        <v>0</v>
      </c>
      <c r="BG23" s="112">
        <f>IF(OR(Matriz_Riesgos[[#This Row],[Suma Residual redondeada (AUX)]]="",Matriz_Riesgos[[#This Row],[F_base (AUX)]]="",Matriz_Riesgos[[#This Row],[I_base (AUX)]]=""),"",MAX(0,Matriz_Riesgos[[#This Row],[Suma Residual redondeada (AUX)]]-(Matriz_Riesgos[[#This Row],[F_base (AUX)]]+Matriz_Riesgos[[#This Row],[I_base (AUX)]])))</f>
        <v>0</v>
      </c>
      <c r="BH23"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23"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23" s="112">
        <f>IF(OR(Matriz_Riesgos[[#This Row],[Resto (AUX)]]="",Matriz_Riesgos[[#This Row],[Capacidad F (AUX)]]="",Matriz_Riesgos[[#This Row],[Inc_I (AUX)]]=""),"",MIN(Matriz_Riesgos[[#This Row],[Capacidad F (AUX)]], MAX(0,Matriz_Riesgos[[#This Row],[Resto (AUX)]]-Matriz_Riesgos[[#This Row],[Inc_I (AUX)]])))</f>
        <v>0</v>
      </c>
      <c r="BK23" s="112">
        <f>IFERROR(MAX(ROUND(Matriz_Riesgos[[#This Row],[Frecuencia Residual (AUX)]]+Matriz_Riesgos[[#This Row],[Impacto Residual (AUX)]]-1+Matriz_Riesgos[[#This Row],[Efectividad Total Ponderada de los Controles]],0),1),"")</f>
        <v>7</v>
      </c>
      <c r="BL23" s="112">
        <f>IFERROR(Matriz_Riesgos[[#This Row],[Valor del Riesgo Residual]]-Matriz_Riesgos[[#This Row],[Valor del Riesgo Residual (AUX)]],"")</f>
        <v>0</v>
      </c>
      <c r="BM23" s="112">
        <f>IFERROR(Matriz_Riesgos[[#This Row],[Frecuencia Residual]]+Matriz_Riesgos[[#This Row],[Impacto Residual]]-1,"")</f>
        <v>7</v>
      </c>
      <c r="BN23" s="112">
        <f>IFERROR(Matriz_Riesgos[[#This Row],[Valor del Riesgo Residual]]-Matriz_Riesgos[[#This Row],[VRR 2]],"")</f>
        <v>0</v>
      </c>
      <c r="BO23" s="112">
        <f>IFERROR(Matriz_Riesgos[[#This Row],[Frecuencia]]-Matriz_Riesgos[[#This Row],[Frecuencia Residual]],"")</f>
        <v>0</v>
      </c>
      <c r="BP23" s="112">
        <f>IFERROR(Matriz_Riesgos[[#This Row],[Impacto]]-Matriz_Riesgos[[#This Row],[Impacto Residual]],"")</f>
        <v>0</v>
      </c>
      <c r="BQ23" s="112">
        <f>IFERROR(Matriz_Riesgos[[#This Row],[Valor del Riesgo Inherente]]-Matriz_Riesgos[[#This Row],[Valor del Riesgo Residual]],"")</f>
        <v>0</v>
      </c>
      <c r="BR23" s="107" t="s">
        <v>380</v>
      </c>
      <c r="BS23" s="107"/>
      <c r="BT23" s="107"/>
      <c r="BU23" s="107"/>
      <c r="BV23" s="107"/>
      <c r="BW23" s="107"/>
      <c r="BX23" s="107"/>
      <c r="BY23" s="107"/>
      <c r="BZ23" s="107"/>
      <c r="CA23" s="107"/>
      <c r="CB23" s="107"/>
      <c r="CC23" s="107"/>
      <c r="CD23" s="107"/>
    </row>
    <row r="24" spans="1:75" s="113" customFormat="1" ht="364.5" customHeight="1">
      <c r="A24" s="101">
        <v>23</v>
      </c>
      <c r="B24" s="102" t="inlineStr">
        <is>
          <t>ROTR-ALMACENBIENE-23</t>
        </is>
      </c>
      <c r="C24" s="103" t="s">
        <v>381</v>
      </c>
      <c r="D24" s="104"/>
      <c r="E24" s="104" t="s">
        <v>186</v>
      </c>
      <c r="F24" s="103" t="s">
        <v>382</v>
      </c>
      <c r="G24" s="105"/>
      <c r="H24" s="103" t="s">
        <v>383</v>
      </c>
      <c r="I24" s="144" t="s">
        <v>384</v>
      </c>
      <c r="J24" s="104">
        <v>3</v>
      </c>
      <c r="K24" s="104">
        <v>5</v>
      </c>
      <c r="L24" s="102">
        <f>IF((Matriz_Riesgos[[#This Row],[Frecuencia]]+Matriz_Riesgos[[#This Row],[Impacto]]-1)=-1,"",Matriz_Riesgos[[#This Row],[Frecuencia]]+Matriz_Riesgos[[#This Row],[Impacto]]-1)</f>
        <v>7</v>
      </c>
      <c r="M24" s="102" t="str">
        <f>IFERROR(VLOOKUP(Matriz_Riesgos[[#This Row],[Valor del Riesgo Inherente]],t_nivel_riesgo[],2,FALSE), "")</f>
        <v>Riesgo Alto</v>
      </c>
      <c r="N24" s="103"/>
      <c r="O24" s="104"/>
      <c r="P24" s="103" t="s">
        <v>364</v>
      </c>
      <c r="Q24" s="106"/>
      <c r="R24" s="106"/>
      <c r="S24" s="106"/>
      <c r="T24" s="107" t="s">
        <v>385</v>
      </c>
      <c r="U24" s="108"/>
      <c r="V24" s="109"/>
      <c r="W24" s="110"/>
      <c r="X24" s="107" t="s">
        <v>386</v>
      </c>
      <c r="Y24" s="108"/>
      <c r="Z24" s="102"/>
      <c r="AA24" s="110"/>
      <c r="AB24" s="107" t="s">
        <v>387</v>
      </c>
      <c r="AC24" s="108"/>
      <c r="AD24" s="109"/>
      <c r="AE24" s="110"/>
      <c r="AF24" s="104"/>
      <c r="AG24" s="111">
        <f>IF(AND(T24="",X24="",AB24=""),"",('Otras Tablas'!$B$3*IF(W24="",0,W24)+'Otras Tablas'!$B$4*IF(AA24="",0,AA24)+'Otras Tablas'!$B$5*IF(AE24="",0,AE24)))</f>
      </c>
      <c r="AH24" s="102" t="str">
        <f>IF(Matriz_Riesgos[[#This Row],[Riesgo Inherente]]="","",Matriz_Riesgos[[#This Row],[Riesgo Inherente]])</f>
        <v>Robo y hurto de inventarios (medicamentos, insumos médicos, equipos o materiales medicos, mobiliario)</v>
      </c>
      <c r="AI24"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24"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24" s="102">
        <f>IFERROR(ROUND(MAX(1,Matriz_Riesgos[[#This Row],[Valor del Riesgo Inherente]]*(1 - Matriz_Riesgos[[#This Row],[Efectividad Total Ponderada de los Controles]])),0), "")</f>
        <v>7</v>
      </c>
      <c r="AL24" s="102" t="str">
        <f>IFERROR(VLOOKUP(Matriz_Riesgos[[#This Row],[Valor del Riesgo Residual]],t_nivel_riesgo[],2,FALSE),"")</f>
        <v>Riesgo Alto</v>
      </c>
      <c r="AM24" s="104" t="s">
        <v>197</v>
      </c>
      <c r="AN24" s="107" t="s">
        <v>388</v>
      </c>
      <c r="AO24" s="103"/>
      <c r="AP24" s="103"/>
      <c r="AQ24" s="103"/>
      <c r="AR24" s="103"/>
      <c r="AS24" s="103" t="s">
        <v>389</v>
      </c>
      <c r="AT24" s="103"/>
      <c r="AU24" s="103"/>
      <c r="AV24" s="103"/>
      <c r="AW24" s="103"/>
      <c r="AX24" s="112">
        <f>IFERROR((1-Matriz_Riesgos[[#This Row],[Efectividad Total Ponderada de los Controles]])*Matriz_Riesgos[[#This Row],[Frecuencia]],"")</f>
        <v>3</v>
      </c>
      <c r="AY24" s="112">
        <f>IFERROR((1-Matriz_Riesgos[[#This Row],[Efectividad Total Ponderada de los Controles]])*Matriz_Riesgos[[#This Row],[Impacto]],"")</f>
        <v>5</v>
      </c>
      <c r="AZ24" s="112">
        <f>IFERROR(Matriz_Riesgos[[#This Row],[Valor del Riesgo Residual]] + 1, "")</f>
        <v>8</v>
      </c>
      <c r="BA24" s="112">
        <f>IFERROR(MAX(1, ROUNDDOWN(Matriz_Riesgos[[#This Row],[Frecuencia Residual (AUX)]],0)),"")</f>
        <v>3</v>
      </c>
      <c r="BB24" s="112">
        <f>IFERROR(MAX(1, ROUNDDOWN(Matriz_Riesgos[[#This Row],[Impacto Residual (AUX)]],0)),"")</f>
        <v>5</v>
      </c>
      <c r="BC24" s="112">
        <f>IF(Matriz_Riesgos[[#This Row],[Frecuencia]]="","",Matriz_Riesgos[[#This Row],[Frecuencia]])</f>
        <v>3</v>
      </c>
      <c r="BD24" s="112">
        <f>IF(Matriz_Riesgos[[#This Row],[Impacto]]="","",Matriz_Riesgos[[#This Row],[Impacto]])</f>
        <v>5</v>
      </c>
      <c r="BE24" s="112">
        <f>IF(OR(Matriz_Riesgos[[#This Row],[Tope F (AUX)]]="",Matriz_Riesgos[[#This Row],[F_base (AUX)]]=""),"",MAX(0,Matriz_Riesgos[[#This Row],[Tope F (AUX)]]-Matriz_Riesgos[[#This Row],[F_base (AUX)]]))</f>
        <v>0</v>
      </c>
      <c r="BF24" s="112">
        <f>IF(OR(Matriz_Riesgos[[#This Row],[Tope I (AUX)]]="",Matriz_Riesgos[[#This Row],[I_base (AUX)]]=""),"",MAX(0,Matriz_Riesgos[[#This Row],[Tope I (AUX)]]-Matriz_Riesgos[[#This Row],[I_base (AUX)]]))</f>
        <v>0</v>
      </c>
      <c r="BG24" s="112">
        <f>IF(OR(Matriz_Riesgos[[#This Row],[Suma Residual redondeada (AUX)]]="",Matriz_Riesgos[[#This Row],[F_base (AUX)]]="",Matriz_Riesgos[[#This Row],[I_base (AUX)]]=""),"",MAX(0,Matriz_Riesgos[[#This Row],[Suma Residual redondeada (AUX)]]-(Matriz_Riesgos[[#This Row],[F_base (AUX)]]+Matriz_Riesgos[[#This Row],[I_base (AUX)]])))</f>
        <v>0</v>
      </c>
      <c r="BH24"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24"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24" s="112">
        <f>IF(OR(Matriz_Riesgos[[#This Row],[Resto (AUX)]]="",Matriz_Riesgos[[#This Row],[Capacidad F (AUX)]]="",Matriz_Riesgos[[#This Row],[Inc_I (AUX)]]=""),"",MIN(Matriz_Riesgos[[#This Row],[Capacidad F (AUX)]], MAX(0,Matriz_Riesgos[[#This Row],[Resto (AUX)]]-Matriz_Riesgos[[#This Row],[Inc_I (AUX)]])))</f>
        <v>0</v>
      </c>
      <c r="BK24" s="112">
        <f>IFERROR(MAX(ROUND(Matriz_Riesgos[[#This Row],[Frecuencia Residual (AUX)]]+Matriz_Riesgos[[#This Row],[Impacto Residual (AUX)]]-1+Matriz_Riesgos[[#This Row],[Efectividad Total Ponderada de los Controles]],0),1),"")</f>
        <v>7</v>
      </c>
      <c r="BL24" s="112">
        <f>IFERROR(Matriz_Riesgos[[#This Row],[Valor del Riesgo Residual]]-Matriz_Riesgos[[#This Row],[Valor del Riesgo Residual (AUX)]],"")</f>
        <v>0</v>
      </c>
      <c r="BM24" s="112">
        <f>IFERROR(Matriz_Riesgos[[#This Row],[Frecuencia Residual]]+Matriz_Riesgos[[#This Row],[Impacto Residual]]-1,"")</f>
        <v>7</v>
      </c>
      <c r="BN24" s="112">
        <f>IFERROR(Matriz_Riesgos[[#This Row],[Valor del Riesgo Residual]]-Matriz_Riesgos[[#This Row],[VRR 2]],"")</f>
        <v>0</v>
      </c>
      <c r="BO24" s="112">
        <f>IFERROR(Matriz_Riesgos[[#This Row],[Frecuencia]]-Matriz_Riesgos[[#This Row],[Frecuencia Residual]],"")</f>
        <v>0</v>
      </c>
      <c r="BP24" s="112">
        <f>IFERROR(Matriz_Riesgos[[#This Row],[Impacto]]-Matriz_Riesgos[[#This Row],[Impacto Residual]],"")</f>
        <v>0</v>
      </c>
      <c r="BQ24" s="112">
        <f>IFERROR(Matriz_Riesgos[[#This Row],[Valor del Riesgo Inherente]]-Matriz_Riesgos[[#This Row],[Valor del Riesgo Residual]],"")</f>
        <v>0</v>
      </c>
      <c r="BR24" s="107" t="s">
        <v>390</v>
      </c>
      <c r="BS24" s="107"/>
      <c r="BT24" s="107"/>
      <c r="BU24" s="107"/>
      <c r="BV24" s="107"/>
      <c r="BW24" s="107"/>
      <c r="BX24" s="107"/>
      <c r="BY24" s="107"/>
      <c r="BZ24" s="107"/>
      <c r="CA24" s="107"/>
      <c r="CB24" s="107"/>
      <c r="CC24" s="107"/>
      <c r="CD24" s="107"/>
    </row>
    <row r="25" spans="1:75" s="113" customFormat="1" ht="291.75" customHeight="1">
      <c r="A25" s="101">
        <v>24</v>
      </c>
      <c r="B25" s="102" t="inlineStr">
        <is>
          <t>RCUMP-COMPRAS-24</t>
        </is>
      </c>
      <c r="C25" s="103" t="s">
        <v>331</v>
      </c>
      <c r="D25" s="104"/>
      <c r="E25" s="104" t="s">
        <v>391</v>
      </c>
      <c r="F25" s="103" t="s">
        <v>392</v>
      </c>
      <c r="G25" s="105"/>
      <c r="H25" s="103" t="s">
        <v>393</v>
      </c>
      <c r="I25" s="144" t="s">
        <v>394</v>
      </c>
      <c r="J25" s="104">
        <v>3</v>
      </c>
      <c r="K25" s="104">
        <v>4</v>
      </c>
      <c r="L25" s="102">
        <f>IF((Matriz_Riesgos[[#This Row],[Frecuencia]]+Matriz_Riesgos[[#This Row],[Impacto]]-1)=-1,"",Matriz_Riesgos[[#This Row],[Frecuencia]]+Matriz_Riesgos[[#This Row],[Impacto]]-1)</f>
        <v>6</v>
      </c>
      <c r="M25" s="102" t="str">
        <f>IFERROR(VLOOKUP(Matriz_Riesgos[[#This Row],[Valor del Riesgo Inherente]],t_nivel_riesgo[],2,FALSE), "")</f>
        <v>Riesgo Alto</v>
      </c>
      <c r="N25" s="103" t="s">
        <v>395</v>
      </c>
      <c r="O25" s="104" t="s">
        <v>190</v>
      </c>
      <c r="P25" s="103" t="s">
        <v>364</v>
      </c>
      <c r="Q25" s="106"/>
      <c r="R25" s="106"/>
      <c r="S25" s="106"/>
      <c r="T25" s="107" t="s">
        <v>396</v>
      </c>
      <c r="U25" s="108"/>
      <c r="V25" s="109"/>
      <c r="W25" s="110"/>
      <c r="X25" s="107" t="s">
        <v>397</v>
      </c>
      <c r="Y25" s="108"/>
      <c r="Z25" s="102"/>
      <c r="AA25" s="110"/>
      <c r="AB25" s="107" t="s">
        <v>398</v>
      </c>
      <c r="AC25" s="108"/>
      <c r="AD25" s="109"/>
      <c r="AE25" s="110"/>
      <c r="AF25" s="104"/>
      <c r="AG25" s="111">
        <f>IF(AND(T25="",X25="",AB25=""),"",('Otras Tablas'!$B$3*IF(W25="",0,W25)+'Otras Tablas'!$B$4*IF(AA25="",0,AA25)+'Otras Tablas'!$B$5*IF(AE25="",0,AE25)))</f>
      </c>
      <c r="AH25" s="102" t="str">
        <f>IF(Matriz_Riesgos[[#This Row],[Riesgo Inherente]]="","",Matriz_Riesgos[[#This Row],[Riesgo Inherente]])</f>
        <v>Registro de proveedores con información inconsistente</v>
      </c>
      <c r="AI25"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25"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4</v>
      </c>
      <c r="AK25" s="102">
        <f>IFERROR(ROUND(MAX(1,Matriz_Riesgos[[#This Row],[Valor del Riesgo Inherente]]*(1 - Matriz_Riesgos[[#This Row],[Efectividad Total Ponderada de los Controles]])),0), "")</f>
        <v>6</v>
      </c>
      <c r="AL25" s="102" t="str">
        <f>IFERROR(VLOOKUP(Matriz_Riesgos[[#This Row],[Valor del Riesgo Residual]],t_nivel_riesgo[],2,FALSE),"")</f>
        <v>Riesgo Alto</v>
      </c>
      <c r="AM25" s="104" t="s">
        <v>197</v>
      </c>
      <c r="AN25" s="105" t="s">
        <v>399</v>
      </c>
      <c r="AO25" s="103"/>
      <c r="AP25" s="103"/>
      <c r="AQ25" s="103"/>
      <c r="AR25" s="103"/>
      <c r="AS25" s="103"/>
      <c r="AT25" s="103"/>
      <c r="AU25" s="103"/>
      <c r="AV25" s="103"/>
      <c r="AW25" s="103"/>
      <c r="AX25" s="112">
        <f>IFERROR((1-Matriz_Riesgos[[#This Row],[Efectividad Total Ponderada de los Controles]])*Matriz_Riesgos[[#This Row],[Frecuencia]],"")</f>
        <v>3</v>
      </c>
      <c r="AY25" s="112">
        <f>IFERROR((1-Matriz_Riesgos[[#This Row],[Efectividad Total Ponderada de los Controles]])*Matriz_Riesgos[[#This Row],[Impacto]],"")</f>
        <v>4</v>
      </c>
      <c r="AZ25" s="112">
        <f>IFERROR(Matriz_Riesgos[[#This Row],[Valor del Riesgo Residual]] + 1, "")</f>
        <v>7</v>
      </c>
      <c r="BA25" s="112">
        <f>IFERROR(MAX(1, ROUNDDOWN(Matriz_Riesgos[[#This Row],[Frecuencia Residual (AUX)]],0)),"")</f>
        <v>3</v>
      </c>
      <c r="BB25" s="112">
        <f>IFERROR(MAX(1, ROUNDDOWN(Matriz_Riesgos[[#This Row],[Impacto Residual (AUX)]],0)),"")</f>
        <v>4</v>
      </c>
      <c r="BC25" s="112">
        <f>IF(Matriz_Riesgos[[#This Row],[Frecuencia]]="","",Matriz_Riesgos[[#This Row],[Frecuencia]])</f>
        <v>3</v>
      </c>
      <c r="BD25" s="112">
        <f>IF(Matriz_Riesgos[[#This Row],[Impacto]]="","",Matriz_Riesgos[[#This Row],[Impacto]])</f>
        <v>4</v>
      </c>
      <c r="BE25" s="112">
        <f>IF(OR(Matriz_Riesgos[[#This Row],[Tope F (AUX)]]="",Matriz_Riesgos[[#This Row],[F_base (AUX)]]=""),"",MAX(0,Matriz_Riesgos[[#This Row],[Tope F (AUX)]]-Matriz_Riesgos[[#This Row],[F_base (AUX)]]))</f>
        <v>0</v>
      </c>
      <c r="BF25" s="112">
        <f>IF(OR(Matriz_Riesgos[[#This Row],[Tope I (AUX)]]="",Matriz_Riesgos[[#This Row],[I_base (AUX)]]=""),"",MAX(0,Matriz_Riesgos[[#This Row],[Tope I (AUX)]]-Matriz_Riesgos[[#This Row],[I_base (AUX)]]))</f>
        <v>0</v>
      </c>
      <c r="BG25" s="112">
        <f>IF(OR(Matriz_Riesgos[[#This Row],[Suma Residual redondeada (AUX)]]="",Matriz_Riesgos[[#This Row],[F_base (AUX)]]="",Matriz_Riesgos[[#This Row],[I_base (AUX)]]=""),"",MAX(0,Matriz_Riesgos[[#This Row],[Suma Residual redondeada (AUX)]]-(Matriz_Riesgos[[#This Row],[F_base (AUX)]]+Matriz_Riesgos[[#This Row],[I_base (AUX)]])))</f>
        <v>0</v>
      </c>
      <c r="BH25"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25"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25" s="112">
        <f>IF(OR(Matriz_Riesgos[[#This Row],[Resto (AUX)]]="",Matriz_Riesgos[[#This Row],[Capacidad F (AUX)]]="",Matriz_Riesgos[[#This Row],[Inc_I (AUX)]]=""),"",MIN(Matriz_Riesgos[[#This Row],[Capacidad F (AUX)]], MAX(0,Matriz_Riesgos[[#This Row],[Resto (AUX)]]-Matriz_Riesgos[[#This Row],[Inc_I (AUX)]])))</f>
        <v>0</v>
      </c>
      <c r="BK25" s="112">
        <f>IFERROR(MAX(ROUND(Matriz_Riesgos[[#This Row],[Frecuencia Residual (AUX)]]+Matriz_Riesgos[[#This Row],[Impacto Residual (AUX)]]-1+Matriz_Riesgos[[#This Row],[Efectividad Total Ponderada de los Controles]],0),1),"")</f>
        <v>6</v>
      </c>
      <c r="BL25" s="112">
        <f>IFERROR(Matriz_Riesgos[[#This Row],[Valor del Riesgo Residual]]-Matriz_Riesgos[[#This Row],[Valor del Riesgo Residual (AUX)]],"")</f>
        <v>0</v>
      </c>
      <c r="BM25" s="112">
        <f>IFERROR(Matriz_Riesgos[[#This Row],[Frecuencia Residual]]+Matriz_Riesgos[[#This Row],[Impacto Residual]]-1,"")</f>
        <v>6</v>
      </c>
      <c r="BN25" s="112">
        <f>IFERROR(Matriz_Riesgos[[#This Row],[Valor del Riesgo Residual]]-Matriz_Riesgos[[#This Row],[VRR 2]],"")</f>
        <v>0</v>
      </c>
      <c r="BO25" s="112">
        <f>IFERROR(Matriz_Riesgos[[#This Row],[Frecuencia]]-Matriz_Riesgos[[#This Row],[Frecuencia Residual]],"")</f>
        <v>0</v>
      </c>
      <c r="BP25" s="112">
        <f>IFERROR(Matriz_Riesgos[[#This Row],[Impacto]]-Matriz_Riesgos[[#This Row],[Impacto Residual]],"")</f>
        <v>0</v>
      </c>
      <c r="BQ25" s="112">
        <f>IFERROR(Matriz_Riesgos[[#This Row],[Valor del Riesgo Inherente]]-Matriz_Riesgos[[#This Row],[Valor del Riesgo Residual]],"")</f>
        <v>0</v>
      </c>
      <c r="BR25" s="107" t="s">
        <v>400</v>
      </c>
      <c r="BS25" s="107"/>
      <c r="BT25" s="107"/>
      <c r="BU25" s="107"/>
      <c r="BV25" s="107"/>
      <c r="BW25" s="107"/>
      <c r="BX25" s="107"/>
      <c r="BY25" s="107"/>
      <c r="BZ25" s="107"/>
      <c r="CA25" s="107"/>
      <c r="CB25" s="107"/>
      <c r="CC25" s="107"/>
      <c r="CD25" s="107"/>
    </row>
    <row r="26" spans="1:75" ht="132">
      <c r="A26" s="100">
        <v>25</v>
      </c>
      <c r="B26" s="37" t="inlineStr">
        <is>
          <t>RCUMP-COMPRAS-25</t>
        </is>
      </c>
      <c r="C26" s="4" t="s">
        <v>331</v>
      </c>
      <c r="D26" s="25"/>
      <c r="E26" s="36" t="s">
        <v>391</v>
      </c>
      <c r="F26" s="4" t="s">
        <v>392</v>
      </c>
      <c r="G26" s="6"/>
      <c r="H26" s="4" t="s">
        <v>401</v>
      </c>
      <c r="I26" s="145" t="s">
        <v>402</v>
      </c>
      <c r="J26" s="25">
        <v>3</v>
      </c>
      <c r="K26" s="25">
        <v>3</v>
      </c>
      <c r="L26" s="37">
        <f>IF((Matriz_Riesgos[[#This Row],[Frecuencia]]+Matriz_Riesgos[[#This Row],[Impacto]]-1)=-1,"",Matriz_Riesgos[[#This Row],[Frecuencia]]+Matriz_Riesgos[[#This Row],[Impacto]]-1)</f>
        <v>5</v>
      </c>
      <c r="M26" s="37" t="str">
        <f>IFERROR(VLOOKUP(Matriz_Riesgos[[#This Row],[Valor del Riesgo Inherente]],t_nivel_riesgo[],2,FALSE), "")</f>
        <v>Riesgo Medio</v>
      </c>
      <c r="N26" s="4" t="s">
        <v>331</v>
      </c>
      <c r="O26" s="25" t="s">
        <v>190</v>
      </c>
      <c r="P26" s="4" t="s">
        <v>364</v>
      </c>
      <c r="Q26" s="64"/>
      <c r="R26" s="64"/>
      <c r="S26" s="64"/>
      <c r="T26" s="98" t="s">
        <v>403</v>
      </c>
      <c r="U26" s="55"/>
      <c r="V26" s="56"/>
      <c r="W26" s="57"/>
      <c r="X26" s="4"/>
      <c r="Y26" s="55"/>
      <c r="Z26" s="37"/>
      <c r="AA26" s="57"/>
      <c r="AB26" s="4"/>
      <c r="AC26" s="55"/>
      <c r="AD26" s="56"/>
      <c r="AE26" s="57"/>
      <c r="AF26" s="25"/>
      <c r="AG26" s="66">
        <f>IF(AND(T26="",X26="",AB26=""),"",('Otras Tablas'!$B$3*IF(W26="",0,W26)+'Otras Tablas'!$B$4*IF(AA26="",0,AA26)+'Otras Tablas'!$B$5*IF(AE26="",0,AE26)))</f>
      </c>
      <c r="AH26" s="102" t="str">
        <f>IF(Matriz_Riesgos[[#This Row],[Riesgo Inherente]]="","",Matriz_Riesgos[[#This Row],[Riesgo Inherente]])</f>
        <v>Empresas que no estan inscritas como proveedores en el IHSS y si inscritos en ONCAE y se realizan compras.</v>
      </c>
      <c r="AI26"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26"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3</v>
      </c>
      <c r="AK26" s="102">
        <f>IFERROR(ROUND(MAX(1,Matriz_Riesgos[[#This Row],[Valor del Riesgo Inherente]]*(1 - Matriz_Riesgos[[#This Row],[Efectividad Total Ponderada de los Controles]])),0), "")</f>
        <v>5</v>
      </c>
      <c r="AL26" s="102" t="str">
        <f>IFERROR(VLOOKUP(Matriz_Riesgos[[#This Row],[Valor del Riesgo Residual]],t_nivel_riesgo[],2,FALSE),"")</f>
        <v>Riesgo Medio</v>
      </c>
      <c r="AM26" s="25" t="s">
        <v>197</v>
      </c>
      <c r="AN26" s="6"/>
      <c r="AO26" s="4"/>
      <c r="AP26" s="4"/>
      <c r="AQ26" s="4"/>
      <c r="AR26" s="4"/>
      <c r="AS26" s="4"/>
      <c r="AT26" s="4"/>
      <c r="AU26" s="4"/>
      <c r="AV26" s="4"/>
      <c r="AW26" s="4"/>
      <c r="AX26" s="96">
        <f>IFERROR((1-Matriz_Riesgos[[#This Row],[Efectividad Total Ponderada de los Controles]])*Matriz_Riesgos[[#This Row],[Frecuencia]],"")</f>
        <v>3</v>
      </c>
      <c r="AY26" s="96">
        <f>IFERROR((1-Matriz_Riesgos[[#This Row],[Efectividad Total Ponderada de los Controles]])*Matriz_Riesgos[[#This Row],[Impacto]],"")</f>
        <v>3</v>
      </c>
      <c r="AZ26" s="96">
        <f>IFERROR(Matriz_Riesgos[[#This Row],[Valor del Riesgo Residual]] + 1, "")</f>
        <v>6</v>
      </c>
      <c r="BA26" s="96">
        <f>IFERROR(MAX(1, ROUNDDOWN(Matriz_Riesgos[[#This Row],[Frecuencia Residual (AUX)]],0)),"")</f>
        <v>3</v>
      </c>
      <c r="BB26" s="96">
        <f>IFERROR(MAX(1, ROUNDDOWN(Matriz_Riesgos[[#This Row],[Impacto Residual (AUX)]],0)),"")</f>
        <v>3</v>
      </c>
      <c r="BC26" s="96">
        <f>IF(Matriz_Riesgos[[#This Row],[Frecuencia]]="","",Matriz_Riesgos[[#This Row],[Frecuencia]])</f>
        <v>3</v>
      </c>
      <c r="BD26" s="96">
        <f>IF(Matriz_Riesgos[[#This Row],[Impacto]]="","",Matriz_Riesgos[[#This Row],[Impacto]])</f>
        <v>3</v>
      </c>
      <c r="BE26" s="96">
        <f>IF(OR(Matriz_Riesgos[[#This Row],[Tope F (AUX)]]="",Matriz_Riesgos[[#This Row],[F_base (AUX)]]=""),"",MAX(0,Matriz_Riesgos[[#This Row],[Tope F (AUX)]]-Matriz_Riesgos[[#This Row],[F_base (AUX)]]))</f>
        <v>0</v>
      </c>
      <c r="BF26" s="96">
        <f>IF(OR(Matriz_Riesgos[[#This Row],[Tope I (AUX)]]="",Matriz_Riesgos[[#This Row],[I_base (AUX)]]=""),"",MAX(0,Matriz_Riesgos[[#This Row],[Tope I (AUX)]]-Matriz_Riesgos[[#This Row],[I_base (AUX)]]))</f>
        <v>0</v>
      </c>
      <c r="BG26" s="96">
        <f>IF(OR(Matriz_Riesgos[[#This Row],[Suma Residual redondeada (AUX)]]="",Matriz_Riesgos[[#This Row],[F_base (AUX)]]="",Matriz_Riesgos[[#This Row],[I_base (AUX)]]=""),"",MAX(0,Matriz_Riesgos[[#This Row],[Suma Residual redondeada (AUX)]]-(Matriz_Riesgos[[#This Row],[F_base (AUX)]]+Matriz_Riesgos[[#This Row],[I_base (AUX)]])))</f>
        <v>0</v>
      </c>
      <c r="BH26" s="96">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26" s="96">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26" s="96">
        <f>IF(OR(Matriz_Riesgos[[#This Row],[Resto (AUX)]]="",Matriz_Riesgos[[#This Row],[Capacidad F (AUX)]]="",Matriz_Riesgos[[#This Row],[Inc_I (AUX)]]=""),"",MIN(Matriz_Riesgos[[#This Row],[Capacidad F (AUX)]], MAX(0,Matriz_Riesgos[[#This Row],[Resto (AUX)]]-Matriz_Riesgos[[#This Row],[Inc_I (AUX)]])))</f>
        <v>0</v>
      </c>
      <c r="BK26" s="96">
        <f>IFERROR(MAX(ROUND(Matriz_Riesgos[[#This Row],[Frecuencia Residual (AUX)]]+Matriz_Riesgos[[#This Row],[Impacto Residual (AUX)]]-1+Matriz_Riesgos[[#This Row],[Efectividad Total Ponderada de los Controles]],0),1),"")</f>
        <v>5</v>
      </c>
      <c r="BL26" s="96">
        <f>IFERROR(Matriz_Riesgos[[#This Row],[Valor del Riesgo Residual]]-Matriz_Riesgos[[#This Row],[Valor del Riesgo Residual (AUX)]],"")</f>
        <v>0</v>
      </c>
      <c r="BM26" s="96">
        <f>IFERROR(Matriz_Riesgos[[#This Row],[Frecuencia Residual]]+Matriz_Riesgos[[#This Row],[Impacto Residual]]-1,"")</f>
        <v>5</v>
      </c>
      <c r="BN26" s="96">
        <f>IFERROR(Matriz_Riesgos[[#This Row],[Valor del Riesgo Residual]]-Matriz_Riesgos[[#This Row],[VRR 2]],"")</f>
        <v>0</v>
      </c>
      <c r="BO26" s="96">
        <f>IFERROR(Matriz_Riesgos[[#This Row],[Frecuencia]]-Matriz_Riesgos[[#This Row],[Frecuencia Residual]],"")</f>
        <v>0</v>
      </c>
      <c r="BP26" s="96">
        <f>IFERROR(Matriz_Riesgos[[#This Row],[Impacto]]-Matriz_Riesgos[[#This Row],[Impacto Residual]],"")</f>
        <v>0</v>
      </c>
      <c r="BQ26" s="96">
        <f>IFERROR(Matriz_Riesgos[[#This Row],[Valor del Riesgo Inherente]]-Matriz_Riesgos[[#This Row],[Valor del Riesgo Residual]],"")</f>
        <v>0</v>
      </c>
      <c r="BR26" s="4"/>
      <c r="BS26" s="4"/>
      <c r="BT26" s="4"/>
      <c r="BU26" s="9"/>
      <c r="BV26" s="9"/>
      <c r="BW26" s="9"/>
      <c r="BX26" s="4"/>
      <c r="BY26" s="4"/>
      <c r="BZ26" s="4"/>
      <c r="CA26" s="4"/>
      <c r="CB26" s="4"/>
      <c r="CC26" s="4"/>
      <c r="CD26" s="4"/>
    </row>
    <row r="27" spans="1:75" s="113" customFormat="1" ht="342" customHeight="1">
      <c r="A27" s="101">
        <v>26</v>
      </c>
      <c r="B27" s="102" t="inlineStr">
        <is>
          <t>RCUMP-COMPRASRRHH-26</t>
        </is>
      </c>
      <c r="C27" s="103" t="s">
        <v>404</v>
      </c>
      <c r="D27" s="104"/>
      <c r="E27" s="104" t="s">
        <v>391</v>
      </c>
      <c r="F27" s="103" t="s">
        <v>405</v>
      </c>
      <c r="G27" s="105"/>
      <c r="H27" s="103" t="s">
        <v>406</v>
      </c>
      <c r="I27" s="144" t="s">
        <v>407</v>
      </c>
      <c r="J27" s="104">
        <v>2</v>
      </c>
      <c r="K27" s="104">
        <v>4</v>
      </c>
      <c r="L27" s="102">
        <f>IF((Matriz_Riesgos[[#This Row],[Frecuencia]]+Matriz_Riesgos[[#This Row],[Impacto]]-1)=-1,"",Matriz_Riesgos[[#This Row],[Frecuencia]]+Matriz_Riesgos[[#This Row],[Impacto]]-1)</f>
        <v>5</v>
      </c>
      <c r="M27" s="102" t="str">
        <f>IFERROR(VLOOKUP(Matriz_Riesgos[[#This Row],[Valor del Riesgo Inherente]],t_nivel_riesgo[],2,FALSE), "")</f>
        <v>Riesgo Medio</v>
      </c>
      <c r="N27" s="103" t="s">
        <v>331</v>
      </c>
      <c r="O27" s="104" t="s">
        <v>190</v>
      </c>
      <c r="P27" s="103" t="s">
        <v>364</v>
      </c>
      <c r="Q27" s="106"/>
      <c r="R27" s="106"/>
      <c r="S27" s="106"/>
      <c r="T27" s="107" t="s">
        <v>408</v>
      </c>
      <c r="U27" s="108"/>
      <c r="V27" s="109"/>
      <c r="W27" s="110"/>
      <c r="X27" s="107" t="s">
        <v>409</v>
      </c>
      <c r="Y27" s="108"/>
      <c r="Z27" s="102"/>
      <c r="AA27" s="110"/>
      <c r="AB27" s="107" t="s">
        <v>410</v>
      </c>
      <c r="AC27" s="108"/>
      <c r="AD27" s="109"/>
      <c r="AE27" s="110"/>
      <c r="AF27" s="104"/>
      <c r="AG27" s="111">
        <f>IF(AND(T27="",X27="",AB27=""),"",('Otras Tablas'!$B$3*IF(W27="",0,W27)+'Otras Tablas'!$B$4*IF(AA27="",0,AA27)+'Otras Tablas'!$B$5*IF(AE27="",0,AE27)))</f>
      </c>
      <c r="AH27" s="102" t="str">
        <f>IF(Matriz_Riesgos[[#This Row],[Riesgo Inherente]]="","",Matriz_Riesgos[[#This Row],[Riesgo Inherente]])</f>
        <v>Recepción indebida de donaciones, regalos o beneficios por parte de funcionarios en el ejercicio de sus funciones</v>
      </c>
      <c r="AI27"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2</v>
      </c>
      <c r="AJ27"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4</v>
      </c>
      <c r="AK27" s="102">
        <f>IFERROR(ROUND(MAX(1,Matriz_Riesgos[[#This Row],[Valor del Riesgo Inherente]]*(1 - Matriz_Riesgos[[#This Row],[Efectividad Total Ponderada de los Controles]])),0), "")</f>
        <v>5</v>
      </c>
      <c r="AL27" s="102" t="str">
        <f>IFERROR(VLOOKUP(Matriz_Riesgos[[#This Row],[Valor del Riesgo Residual]],t_nivel_riesgo[],2,FALSE),"")</f>
        <v>Riesgo Medio</v>
      </c>
      <c r="AM27" s="104" t="s">
        <v>197</v>
      </c>
      <c r="AN27" s="105" t="s">
        <v>411</v>
      </c>
      <c r="AO27" s="103"/>
      <c r="AP27" s="103"/>
      <c r="AQ27" s="103"/>
      <c r="AR27" s="103"/>
      <c r="AS27" s="103"/>
      <c r="AT27" s="103"/>
      <c r="AU27" s="103"/>
      <c r="AV27" s="103"/>
      <c r="AW27" s="103"/>
      <c r="AX27" s="112">
        <f>IFERROR((1-Matriz_Riesgos[[#This Row],[Efectividad Total Ponderada de los Controles]])*Matriz_Riesgos[[#This Row],[Frecuencia]],"")</f>
        <v>2</v>
      </c>
      <c r="AY27" s="112">
        <f>IFERROR((1-Matriz_Riesgos[[#This Row],[Efectividad Total Ponderada de los Controles]])*Matriz_Riesgos[[#This Row],[Impacto]],"")</f>
        <v>4</v>
      </c>
      <c r="AZ27" s="112">
        <f>IFERROR(Matriz_Riesgos[[#This Row],[Valor del Riesgo Residual]] + 1, "")</f>
        <v>6</v>
      </c>
      <c r="BA27" s="112">
        <f>IFERROR(MAX(1, ROUNDDOWN(Matriz_Riesgos[[#This Row],[Frecuencia Residual (AUX)]],0)),"")</f>
        <v>2</v>
      </c>
      <c r="BB27" s="112">
        <f>IFERROR(MAX(1, ROUNDDOWN(Matriz_Riesgos[[#This Row],[Impacto Residual (AUX)]],0)),"")</f>
        <v>4</v>
      </c>
      <c r="BC27" s="112">
        <f>IF(Matriz_Riesgos[[#This Row],[Frecuencia]]="","",Matriz_Riesgos[[#This Row],[Frecuencia]])</f>
        <v>2</v>
      </c>
      <c r="BD27" s="112">
        <f>IF(Matriz_Riesgos[[#This Row],[Impacto]]="","",Matriz_Riesgos[[#This Row],[Impacto]])</f>
        <v>4</v>
      </c>
      <c r="BE27" s="112">
        <f>IF(OR(Matriz_Riesgos[[#This Row],[Tope F (AUX)]]="",Matriz_Riesgos[[#This Row],[F_base (AUX)]]=""),"",MAX(0,Matriz_Riesgos[[#This Row],[Tope F (AUX)]]-Matriz_Riesgos[[#This Row],[F_base (AUX)]]))</f>
        <v>0</v>
      </c>
      <c r="BF27" s="112">
        <f>IF(OR(Matriz_Riesgos[[#This Row],[Tope I (AUX)]]="",Matriz_Riesgos[[#This Row],[I_base (AUX)]]=""),"",MAX(0,Matriz_Riesgos[[#This Row],[Tope I (AUX)]]-Matriz_Riesgos[[#This Row],[I_base (AUX)]]))</f>
        <v>0</v>
      </c>
      <c r="BG27" s="112">
        <f>IF(OR(Matriz_Riesgos[[#This Row],[Suma Residual redondeada (AUX)]]="",Matriz_Riesgos[[#This Row],[F_base (AUX)]]="",Matriz_Riesgos[[#This Row],[I_base (AUX)]]=""),"",MAX(0,Matriz_Riesgos[[#This Row],[Suma Residual redondeada (AUX)]]-(Matriz_Riesgos[[#This Row],[F_base (AUX)]]+Matriz_Riesgos[[#This Row],[I_base (AUX)]])))</f>
        <v>0</v>
      </c>
      <c r="BH27"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27"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27" s="112">
        <f>IF(OR(Matriz_Riesgos[[#This Row],[Resto (AUX)]]="",Matriz_Riesgos[[#This Row],[Capacidad F (AUX)]]="",Matriz_Riesgos[[#This Row],[Inc_I (AUX)]]=""),"",MIN(Matriz_Riesgos[[#This Row],[Capacidad F (AUX)]], MAX(0,Matriz_Riesgos[[#This Row],[Resto (AUX)]]-Matriz_Riesgos[[#This Row],[Inc_I (AUX)]])))</f>
        <v>0</v>
      </c>
      <c r="BK27" s="112">
        <f>IFERROR(MAX(ROUND(Matriz_Riesgos[[#This Row],[Frecuencia Residual (AUX)]]+Matriz_Riesgos[[#This Row],[Impacto Residual (AUX)]]-1+Matriz_Riesgos[[#This Row],[Efectividad Total Ponderada de los Controles]],0),1),"")</f>
        <v>5</v>
      </c>
      <c r="BL27" s="112">
        <f>IFERROR(Matriz_Riesgos[[#This Row],[Valor del Riesgo Residual]]-Matriz_Riesgos[[#This Row],[Valor del Riesgo Residual (AUX)]],"")</f>
        <v>0</v>
      </c>
      <c r="BM27" s="112">
        <f>IFERROR(Matriz_Riesgos[[#This Row],[Frecuencia Residual]]+Matriz_Riesgos[[#This Row],[Impacto Residual]]-1,"")</f>
        <v>5</v>
      </c>
      <c r="BN27" s="112">
        <f>IFERROR(Matriz_Riesgos[[#This Row],[Valor del Riesgo Residual]]-Matriz_Riesgos[[#This Row],[VRR 2]],"")</f>
        <v>0</v>
      </c>
      <c r="BO27" s="112">
        <f>IFERROR(Matriz_Riesgos[[#This Row],[Frecuencia]]-Matriz_Riesgos[[#This Row],[Frecuencia Residual]],"")</f>
        <v>0</v>
      </c>
      <c r="BP27" s="112">
        <f>IFERROR(Matriz_Riesgos[[#This Row],[Impacto]]-Matriz_Riesgos[[#This Row],[Impacto Residual]],"")</f>
        <v>0</v>
      </c>
      <c r="BQ27" s="112">
        <f>IFERROR(Matriz_Riesgos[[#This Row],[Valor del Riesgo Inherente]]-Matriz_Riesgos[[#This Row],[Valor del Riesgo Residual]],"")</f>
        <v>0</v>
      </c>
      <c r="BR27" s="107" t="s">
        <v>412</v>
      </c>
      <c r="BS27" s="107"/>
      <c r="BT27" s="107"/>
      <c r="BU27" s="107"/>
      <c r="BV27" s="107"/>
      <c r="BW27" s="107"/>
      <c r="BX27" s="107"/>
      <c r="BY27" s="107"/>
      <c r="BZ27" s="107"/>
      <c r="CA27" s="107"/>
      <c r="CB27" s="107"/>
      <c r="CC27" s="107"/>
      <c r="CD27" s="107"/>
    </row>
    <row r="28" spans="1:75" ht="120">
      <c r="A28" s="100">
        <v>27</v>
      </c>
      <c r="B28" s="37" t="inlineStr">
        <is>
          <t>RCUMP-COMPRAS-27</t>
        </is>
      </c>
      <c r="C28" s="4" t="s">
        <v>331</v>
      </c>
      <c r="D28" s="25"/>
      <c r="E28" s="36" t="s">
        <v>391</v>
      </c>
      <c r="F28" s="4" t="s">
        <v>413</v>
      </c>
      <c r="G28" s="6"/>
      <c r="H28" s="4" t="s">
        <v>414</v>
      </c>
      <c r="I28" s="145" t="s">
        <v>415</v>
      </c>
      <c r="J28" s="104">
        <v>3</v>
      </c>
      <c r="K28" s="104">
        <v>4</v>
      </c>
      <c r="L28" s="102">
        <f>IF((Matriz_Riesgos[[#This Row],[Frecuencia]]+Matriz_Riesgos[[#This Row],[Impacto]]-1)=-1,"",Matriz_Riesgos[[#This Row],[Frecuencia]]+Matriz_Riesgos[[#This Row],[Impacto]]-1)</f>
        <v>6</v>
      </c>
      <c r="M28" s="102" t="str">
        <f>IFERROR(VLOOKUP(Matriz_Riesgos[[#This Row],[Valor del Riesgo Inherente]],t_nivel_riesgo[],2,FALSE), "")</f>
        <v>Riesgo Alto</v>
      </c>
      <c r="N28" s="103" t="s">
        <v>416</v>
      </c>
      <c r="O28" s="25" t="s">
        <v>190</v>
      </c>
      <c r="P28" s="103" t="s">
        <v>364</v>
      </c>
      <c r="Q28" s="64"/>
      <c r="R28" s="64"/>
      <c r="S28" s="64"/>
      <c r="T28" s="107"/>
      <c r="U28" s="55"/>
      <c r="V28" s="56"/>
      <c r="W28" s="57"/>
      <c r="X28" s="107"/>
      <c r="Y28" s="55"/>
      <c r="Z28" s="37"/>
      <c r="AA28" s="57"/>
      <c r="AB28" s="107"/>
      <c r="AC28" s="55"/>
      <c r="AD28" s="56"/>
      <c r="AE28" s="57"/>
      <c r="AF28" s="25"/>
      <c r="AG28" s="66">
        <f>IF(AND(T28="",X28="",AB28=""),"",('Otras Tablas'!$B$3*IF(W28="",0,W28)+'Otras Tablas'!$B$4*IF(AA28="",0,AA28)+'Otras Tablas'!$B$5*IF(AE28="",0,AE28)))</f>
      </c>
      <c r="AH28" s="102" t="str">
        <f>IF(Matriz_Riesgos[[#This Row],[Riesgo Inherente]]="","",Matriz_Riesgos[[#This Row],[Riesgo Inherente]])</f>
        <v>Ser una Persona Expuesta Políticamente (PEP) , ser su cónyuge o persona vinculada por unión de hecho o parientes dentro del cuarto grado de consanguinidad o segundo de afinidad del proveedor ofertante</v>
      </c>
      <c r="AI28"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28"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4</v>
      </c>
      <c r="AK28" s="102">
        <f>IFERROR(ROUND(MAX(1,Matriz_Riesgos[[#This Row],[Valor del Riesgo Inherente]]*(1 - Matriz_Riesgos[[#This Row],[Efectividad Total Ponderada de los Controles]])),0), "")</f>
        <v>6</v>
      </c>
      <c r="AL28" s="102" t="str">
        <f>IFERROR(VLOOKUP(Matriz_Riesgos[[#This Row],[Valor del Riesgo Residual]],t_nivel_riesgo[],2,FALSE),"")</f>
        <v>Riesgo Alto</v>
      </c>
      <c r="AM28" s="25" t="s">
        <v>197</v>
      </c>
      <c r="AN28" s="6"/>
      <c r="AO28" s="4"/>
      <c r="AP28" s="4"/>
      <c r="AQ28" s="4"/>
      <c r="AR28" s="4"/>
      <c r="AS28" s="4"/>
      <c r="AT28" s="4"/>
      <c r="AU28" s="4"/>
      <c r="AV28" s="4"/>
      <c r="AW28" s="4"/>
      <c r="AX28" s="96">
        <f>IFERROR((1-Matriz_Riesgos[[#This Row],[Efectividad Total Ponderada de los Controles]])*Matriz_Riesgos[[#This Row],[Frecuencia]],"")</f>
        <v>3</v>
      </c>
      <c r="AY28" s="96">
        <f>IFERROR((1-Matriz_Riesgos[[#This Row],[Efectividad Total Ponderada de los Controles]])*Matriz_Riesgos[[#This Row],[Impacto]],"")</f>
        <v>4</v>
      </c>
      <c r="AZ28" s="96">
        <f>IFERROR(Matriz_Riesgos[[#This Row],[Valor del Riesgo Residual]] + 1, "")</f>
        <v>7</v>
      </c>
      <c r="BA28" s="96">
        <f>IFERROR(MAX(1, ROUNDDOWN(Matriz_Riesgos[[#This Row],[Frecuencia Residual (AUX)]],0)),"")</f>
        <v>3</v>
      </c>
      <c r="BB28" s="96">
        <f>IFERROR(MAX(1, ROUNDDOWN(Matriz_Riesgos[[#This Row],[Impacto Residual (AUX)]],0)),"")</f>
        <v>4</v>
      </c>
      <c r="BC28" s="96">
        <f>IF(Matriz_Riesgos[[#This Row],[Frecuencia]]="","",Matriz_Riesgos[[#This Row],[Frecuencia]])</f>
        <v>3</v>
      </c>
      <c r="BD28" s="96">
        <f>IF(Matriz_Riesgos[[#This Row],[Impacto]]="","",Matriz_Riesgos[[#This Row],[Impacto]])</f>
        <v>4</v>
      </c>
      <c r="BE28" s="96">
        <f>IF(OR(Matriz_Riesgos[[#This Row],[Tope F (AUX)]]="",Matriz_Riesgos[[#This Row],[F_base (AUX)]]=""),"",MAX(0,Matriz_Riesgos[[#This Row],[Tope F (AUX)]]-Matriz_Riesgos[[#This Row],[F_base (AUX)]]))</f>
        <v>0</v>
      </c>
      <c r="BF28" s="96">
        <f>IF(OR(Matriz_Riesgos[[#This Row],[Tope I (AUX)]]="",Matriz_Riesgos[[#This Row],[I_base (AUX)]]=""),"",MAX(0,Matriz_Riesgos[[#This Row],[Tope I (AUX)]]-Matriz_Riesgos[[#This Row],[I_base (AUX)]]))</f>
        <v>0</v>
      </c>
      <c r="BG28" s="96">
        <f>IF(OR(Matriz_Riesgos[[#This Row],[Suma Residual redondeada (AUX)]]="",Matriz_Riesgos[[#This Row],[F_base (AUX)]]="",Matriz_Riesgos[[#This Row],[I_base (AUX)]]=""),"",MAX(0,Matriz_Riesgos[[#This Row],[Suma Residual redondeada (AUX)]]-(Matriz_Riesgos[[#This Row],[F_base (AUX)]]+Matriz_Riesgos[[#This Row],[I_base (AUX)]])))</f>
        <v>0</v>
      </c>
      <c r="BH28" s="96">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28" s="96">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28" s="96">
        <f>IF(OR(Matriz_Riesgos[[#This Row],[Resto (AUX)]]="",Matriz_Riesgos[[#This Row],[Capacidad F (AUX)]]="",Matriz_Riesgos[[#This Row],[Inc_I (AUX)]]=""),"",MIN(Matriz_Riesgos[[#This Row],[Capacidad F (AUX)]], MAX(0,Matriz_Riesgos[[#This Row],[Resto (AUX)]]-Matriz_Riesgos[[#This Row],[Inc_I (AUX)]])))</f>
        <v>0</v>
      </c>
      <c r="BK28" s="96">
        <f>IFERROR(MAX(ROUND(Matriz_Riesgos[[#This Row],[Frecuencia Residual (AUX)]]+Matriz_Riesgos[[#This Row],[Impacto Residual (AUX)]]-1+Matriz_Riesgos[[#This Row],[Efectividad Total Ponderada de los Controles]],0),1),"")</f>
        <v>6</v>
      </c>
      <c r="BL28" s="96">
        <f>IFERROR(Matriz_Riesgos[[#This Row],[Valor del Riesgo Residual]]-Matriz_Riesgos[[#This Row],[Valor del Riesgo Residual (AUX)]],"")</f>
        <v>0</v>
      </c>
      <c r="BM28" s="96">
        <f>IFERROR(Matriz_Riesgos[[#This Row],[Frecuencia Residual]]+Matriz_Riesgos[[#This Row],[Impacto Residual]]-1,"")</f>
        <v>6</v>
      </c>
      <c r="BN28" s="96">
        <f>IFERROR(Matriz_Riesgos[[#This Row],[Valor del Riesgo Residual]]-Matriz_Riesgos[[#This Row],[VRR 2]],"")</f>
        <v>0</v>
      </c>
      <c r="BO28" s="96">
        <f>IFERROR(Matriz_Riesgos[[#This Row],[Frecuencia]]-Matriz_Riesgos[[#This Row],[Frecuencia Residual]],"")</f>
        <v>0</v>
      </c>
      <c r="BP28" s="96">
        <f>IFERROR(Matriz_Riesgos[[#This Row],[Impacto]]-Matriz_Riesgos[[#This Row],[Impacto Residual]],"")</f>
        <v>0</v>
      </c>
      <c r="BQ28" s="96">
        <f>IFERROR(Matriz_Riesgos[[#This Row],[Valor del Riesgo Inherente]]-Matriz_Riesgos[[#This Row],[Valor del Riesgo Residual]],"")</f>
        <v>0</v>
      </c>
      <c r="BR28" s="4"/>
      <c r="BS28" s="4"/>
      <c r="BT28" s="4"/>
      <c r="BU28" s="9"/>
      <c r="BV28" s="9"/>
      <c r="BW28" s="9"/>
      <c r="BX28" s="4"/>
      <c r="BY28" s="4"/>
      <c r="BZ28" s="4"/>
      <c r="CA28" s="4"/>
      <c r="CB28" s="4"/>
      <c r="CC28" s="4"/>
      <c r="CD28" s="4"/>
    </row>
    <row r="29" spans="1:75" s="113" customFormat="1" ht="372.75" customHeight="1">
      <c r="A29" s="101">
        <v>28</v>
      </c>
      <c r="B29" s="102" t="inlineStr">
        <is>
          <t>RCUMP-COMPRAS-28</t>
        </is>
      </c>
      <c r="C29" s="103" t="s">
        <v>331</v>
      </c>
      <c r="D29" s="104"/>
      <c r="E29" s="104" t="s">
        <v>391</v>
      </c>
      <c r="F29" s="103" t="s">
        <v>417</v>
      </c>
      <c r="G29" s="105"/>
      <c r="H29" s="103" t="s">
        <v>418</v>
      </c>
      <c r="I29" s="144" t="s">
        <v>419</v>
      </c>
      <c r="J29" s="104">
        <v>3</v>
      </c>
      <c r="K29" s="104">
        <v>5</v>
      </c>
      <c r="L29" s="102">
        <f>IF((Matriz_Riesgos[[#This Row],[Frecuencia]]+Matriz_Riesgos[[#This Row],[Impacto]]-1)=-1,"",Matriz_Riesgos[[#This Row],[Frecuencia]]+Matriz_Riesgos[[#This Row],[Impacto]]-1)</f>
        <v>7</v>
      </c>
      <c r="M29" s="102" t="str">
        <f>IFERROR(VLOOKUP(Matriz_Riesgos[[#This Row],[Valor del Riesgo Inherente]],t_nivel_riesgo[],2,FALSE), "")</f>
        <v>Riesgo Alto</v>
      </c>
      <c r="N29" s="103" t="s">
        <v>420</v>
      </c>
      <c r="O29" s="104" t="s">
        <v>190</v>
      </c>
      <c r="P29" s="103" t="s">
        <v>364</v>
      </c>
      <c r="Q29" s="106"/>
      <c r="R29" s="106"/>
      <c r="S29" s="106"/>
      <c r="T29" s="107" t="s">
        <v>421</v>
      </c>
      <c r="U29" s="108"/>
      <c r="V29" s="109"/>
      <c r="W29" s="110"/>
      <c r="X29" s="107" t="s">
        <v>422</v>
      </c>
      <c r="Y29" s="108"/>
      <c r="Z29" s="102"/>
      <c r="AA29" s="110"/>
      <c r="AB29" s="107" t="s">
        <v>423</v>
      </c>
      <c r="AC29" s="108"/>
      <c r="AD29" s="109"/>
      <c r="AE29" s="110"/>
      <c r="AF29" s="104"/>
      <c r="AG29" s="111">
        <f>IF(AND(T29="",X29="",AB29=""),"",('Otras Tablas'!$B$3*IF(W29="",0,W29)+'Otras Tablas'!$B$4*IF(AA29="",0,AA29)+'Otras Tablas'!$B$5*IF(AE29="",0,AE29)))</f>
      </c>
      <c r="AH29" s="102" t="str">
        <f>IF(Matriz_Riesgos[[#This Row],[Riesgo Inherente]]="","",Matriz_Riesgos[[#This Row],[Riesgo Inherente]])</f>
        <v>Conflicto de interés por vínculos familiares en procesos de contratación con proveedores</v>
      </c>
      <c r="AI29"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29"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29" s="102">
        <f>IFERROR(ROUND(MAX(1,Matriz_Riesgos[[#This Row],[Valor del Riesgo Inherente]]*(1 - Matriz_Riesgos[[#This Row],[Efectividad Total Ponderada de los Controles]])),0), "")</f>
        <v>7</v>
      </c>
      <c r="AL29" s="102" t="str">
        <f>IFERROR(VLOOKUP(Matriz_Riesgos[[#This Row],[Valor del Riesgo Residual]],t_nivel_riesgo[],2,FALSE),"")</f>
        <v>Riesgo Alto</v>
      </c>
      <c r="AM29" s="104" t="s">
        <v>197</v>
      </c>
      <c r="AN29" s="105" t="s">
        <v>424</v>
      </c>
      <c r="AO29" s="103"/>
      <c r="AP29" s="103"/>
      <c r="AQ29" s="103"/>
      <c r="AR29" s="103"/>
      <c r="AS29" s="103"/>
      <c r="AT29" s="103"/>
      <c r="AU29" s="103"/>
      <c r="AV29" s="103"/>
      <c r="AW29" s="103"/>
      <c r="AX29" s="112">
        <f>IFERROR((1-Matriz_Riesgos[[#This Row],[Efectividad Total Ponderada de los Controles]])*Matriz_Riesgos[[#This Row],[Frecuencia]],"")</f>
        <v>3</v>
      </c>
      <c r="AY29" s="112">
        <f>IFERROR((1-Matriz_Riesgos[[#This Row],[Efectividad Total Ponderada de los Controles]])*Matriz_Riesgos[[#This Row],[Impacto]],"")</f>
        <v>5</v>
      </c>
      <c r="AZ29" s="112">
        <f>IFERROR(Matriz_Riesgos[[#This Row],[Valor del Riesgo Residual]] + 1, "")</f>
        <v>8</v>
      </c>
      <c r="BA29" s="112">
        <f>IFERROR(MAX(1, ROUNDDOWN(Matriz_Riesgos[[#This Row],[Frecuencia Residual (AUX)]],0)),"")</f>
        <v>3</v>
      </c>
      <c r="BB29" s="112">
        <f>IFERROR(MAX(1, ROUNDDOWN(Matriz_Riesgos[[#This Row],[Impacto Residual (AUX)]],0)),"")</f>
        <v>5</v>
      </c>
      <c r="BC29" s="112">
        <f>IF(Matriz_Riesgos[[#This Row],[Frecuencia]]="","",Matriz_Riesgos[[#This Row],[Frecuencia]])</f>
        <v>3</v>
      </c>
      <c r="BD29" s="112">
        <f>IF(Matriz_Riesgos[[#This Row],[Impacto]]="","",Matriz_Riesgos[[#This Row],[Impacto]])</f>
        <v>5</v>
      </c>
      <c r="BE29" s="112">
        <f>IF(OR(Matriz_Riesgos[[#This Row],[Tope F (AUX)]]="",Matriz_Riesgos[[#This Row],[F_base (AUX)]]=""),"",MAX(0,Matriz_Riesgos[[#This Row],[Tope F (AUX)]]-Matriz_Riesgos[[#This Row],[F_base (AUX)]]))</f>
        <v>0</v>
      </c>
      <c r="BF29" s="112">
        <f>IF(OR(Matriz_Riesgos[[#This Row],[Tope I (AUX)]]="",Matriz_Riesgos[[#This Row],[I_base (AUX)]]=""),"",MAX(0,Matriz_Riesgos[[#This Row],[Tope I (AUX)]]-Matriz_Riesgos[[#This Row],[I_base (AUX)]]))</f>
        <v>0</v>
      </c>
      <c r="BG29" s="112">
        <f>IF(OR(Matriz_Riesgos[[#This Row],[Suma Residual redondeada (AUX)]]="",Matriz_Riesgos[[#This Row],[F_base (AUX)]]="",Matriz_Riesgos[[#This Row],[I_base (AUX)]]=""),"",MAX(0,Matriz_Riesgos[[#This Row],[Suma Residual redondeada (AUX)]]-(Matriz_Riesgos[[#This Row],[F_base (AUX)]]+Matriz_Riesgos[[#This Row],[I_base (AUX)]])))</f>
        <v>0</v>
      </c>
      <c r="BH29"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29"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29" s="112">
        <f>IF(OR(Matriz_Riesgos[[#This Row],[Resto (AUX)]]="",Matriz_Riesgos[[#This Row],[Capacidad F (AUX)]]="",Matriz_Riesgos[[#This Row],[Inc_I (AUX)]]=""),"",MIN(Matriz_Riesgos[[#This Row],[Capacidad F (AUX)]], MAX(0,Matriz_Riesgos[[#This Row],[Resto (AUX)]]-Matriz_Riesgos[[#This Row],[Inc_I (AUX)]])))</f>
        <v>0</v>
      </c>
      <c r="BK29" s="112">
        <f>IFERROR(MAX(ROUND(Matriz_Riesgos[[#This Row],[Frecuencia Residual (AUX)]]+Matriz_Riesgos[[#This Row],[Impacto Residual (AUX)]]-1+Matriz_Riesgos[[#This Row],[Efectividad Total Ponderada de los Controles]],0),1),"")</f>
        <v>7</v>
      </c>
      <c r="BL29" s="112">
        <f>IFERROR(Matriz_Riesgos[[#This Row],[Valor del Riesgo Residual]]-Matriz_Riesgos[[#This Row],[Valor del Riesgo Residual (AUX)]],"")</f>
        <v>0</v>
      </c>
      <c r="BM29" s="112">
        <f>IFERROR(Matriz_Riesgos[[#This Row],[Frecuencia Residual]]+Matriz_Riesgos[[#This Row],[Impacto Residual]]-1,"")</f>
        <v>7</v>
      </c>
      <c r="BN29" s="112">
        <f>IFERROR(Matriz_Riesgos[[#This Row],[Valor del Riesgo Residual]]-Matriz_Riesgos[[#This Row],[VRR 2]],"")</f>
        <v>0</v>
      </c>
      <c r="BO29" s="112">
        <f>IFERROR(Matriz_Riesgos[[#This Row],[Frecuencia]]-Matriz_Riesgos[[#This Row],[Frecuencia Residual]],"")</f>
        <v>0</v>
      </c>
      <c r="BP29" s="112">
        <f>IFERROR(Matriz_Riesgos[[#This Row],[Impacto]]-Matriz_Riesgos[[#This Row],[Impacto Residual]],"")</f>
        <v>0</v>
      </c>
      <c r="BQ29" s="112">
        <f>IFERROR(Matriz_Riesgos[[#This Row],[Valor del Riesgo Inherente]]-Matriz_Riesgos[[#This Row],[Valor del Riesgo Residual]],"")</f>
        <v>0</v>
      </c>
      <c r="BR29" s="107" t="s">
        <v>425</v>
      </c>
      <c r="BS29" s="107"/>
      <c r="BT29" s="107"/>
      <c r="BU29" s="107"/>
      <c r="BV29" s="107"/>
      <c r="BW29" s="107"/>
      <c r="BX29" s="107"/>
      <c r="BY29" s="107"/>
      <c r="BZ29" s="107"/>
      <c r="CA29" s="107"/>
      <c r="CB29" s="107"/>
      <c r="CC29" s="107"/>
      <c r="CD29" s="107"/>
    </row>
    <row r="30" spans="1:75" ht="294" customHeight="1">
      <c r="A30" s="100">
        <v>29</v>
      </c>
      <c r="B30" s="37" t="inlineStr">
        <is>
          <t>RCUMP-COMPRAS-29</t>
        </is>
      </c>
      <c r="C30" s="4" t="s">
        <v>331</v>
      </c>
      <c r="D30" s="25"/>
      <c r="E30" s="36" t="s">
        <v>391</v>
      </c>
      <c r="F30" s="4" t="s">
        <v>417</v>
      </c>
      <c r="G30" s="6"/>
      <c r="H30" s="103" t="s">
        <v>426</v>
      </c>
      <c r="I30" s="144" t="s">
        <v>427</v>
      </c>
      <c r="J30" s="25">
        <v>2</v>
      </c>
      <c r="K30" s="25">
        <v>4</v>
      </c>
      <c r="L30" s="37">
        <f>IF((Matriz_Riesgos[[#This Row],[Frecuencia]]+Matriz_Riesgos[[#This Row],[Impacto]]-1)=-1,"",Matriz_Riesgos[[#This Row],[Frecuencia]]+Matriz_Riesgos[[#This Row],[Impacto]]-1)</f>
        <v>5</v>
      </c>
      <c r="M30" s="37" t="str">
        <f>IFERROR(VLOOKUP(Matriz_Riesgos[[#This Row],[Valor del Riesgo Inherente]],t_nivel_riesgo[],2,FALSE), "")</f>
        <v>Riesgo Medio</v>
      </c>
      <c r="N30" s="4" t="s">
        <v>331</v>
      </c>
      <c r="O30" s="25" t="s">
        <v>190</v>
      </c>
      <c r="P30" s="4" t="s">
        <v>428</v>
      </c>
      <c r="Q30" s="64"/>
      <c r="R30" s="64"/>
      <c r="S30" s="64"/>
      <c r="T30" s="107" t="s">
        <v>429</v>
      </c>
      <c r="U30" s="55"/>
      <c r="V30" s="56"/>
      <c r="W30" s="57"/>
      <c r="X30" s="107" t="s">
        <v>430</v>
      </c>
      <c r="Y30" s="55"/>
      <c r="Z30" s="37"/>
      <c r="AA30" s="57"/>
      <c r="AB30" s="107" t="s">
        <v>431</v>
      </c>
      <c r="AC30" s="55"/>
      <c r="AD30" s="56"/>
      <c r="AE30" s="57"/>
      <c r="AF30" s="25"/>
      <c r="AG30" s="66">
        <f>IF(AND(T30="",X30="",AB30=""),"",('Otras Tablas'!$B$3*IF(W30="",0,W30)+'Otras Tablas'!$B$4*IF(AA30="",0,AA30)+'Otras Tablas'!$B$5*IF(AE30="",0,AE30)))</f>
      </c>
      <c r="AH30" s="102" t="str">
        <f>IF(Matriz_Riesgos[[#This Row],[Riesgo Inherente]]="","",Matriz_Riesgos[[#This Row],[Riesgo Inherente]])</f>
        <v>Imposisicon de empleados, en procesos de evaluacion de lictaciones</v>
      </c>
      <c r="AI30"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2</v>
      </c>
      <c r="AJ30"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4</v>
      </c>
      <c r="AK30" s="102">
        <f>IFERROR(ROUND(MAX(1,Matriz_Riesgos[[#This Row],[Valor del Riesgo Inherente]]*(1 - Matriz_Riesgos[[#This Row],[Efectividad Total Ponderada de los Controles]])),0), "")</f>
        <v>5</v>
      </c>
      <c r="AL30" s="102" t="str">
        <f>IFERROR(VLOOKUP(Matriz_Riesgos[[#This Row],[Valor del Riesgo Residual]],t_nivel_riesgo[],2,FALSE),"")</f>
        <v>Riesgo Medio</v>
      </c>
      <c r="AM30" s="25" t="s">
        <v>197</v>
      </c>
      <c r="AN30" s="6"/>
      <c r="AO30" s="4"/>
      <c r="AP30" s="4"/>
      <c r="AQ30" s="4"/>
      <c r="AR30" s="4"/>
      <c r="AS30" s="4"/>
      <c r="AT30" s="4"/>
      <c r="AU30" s="4"/>
      <c r="AV30" s="4"/>
      <c r="AW30" s="4"/>
      <c r="AX30" s="96">
        <f>IFERROR((1-Matriz_Riesgos[[#This Row],[Efectividad Total Ponderada de los Controles]])*Matriz_Riesgos[[#This Row],[Frecuencia]],"")</f>
        <v>2</v>
      </c>
      <c r="AY30" s="96">
        <f>IFERROR((1-Matriz_Riesgos[[#This Row],[Efectividad Total Ponderada de los Controles]])*Matriz_Riesgos[[#This Row],[Impacto]],"")</f>
        <v>4</v>
      </c>
      <c r="AZ30" s="96">
        <f>IFERROR(Matriz_Riesgos[[#This Row],[Valor del Riesgo Residual]] + 1, "")</f>
        <v>6</v>
      </c>
      <c r="BA30" s="96">
        <f>IFERROR(MAX(1, ROUNDDOWN(Matriz_Riesgos[[#This Row],[Frecuencia Residual (AUX)]],0)),"")</f>
        <v>2</v>
      </c>
      <c r="BB30" s="96">
        <f>IFERROR(MAX(1, ROUNDDOWN(Matriz_Riesgos[[#This Row],[Impacto Residual (AUX)]],0)),"")</f>
        <v>4</v>
      </c>
      <c r="BC30" s="96">
        <f>IF(Matriz_Riesgos[[#This Row],[Frecuencia]]="","",Matriz_Riesgos[[#This Row],[Frecuencia]])</f>
        <v>2</v>
      </c>
      <c r="BD30" s="96">
        <f>IF(Matriz_Riesgos[[#This Row],[Impacto]]="","",Matriz_Riesgos[[#This Row],[Impacto]])</f>
        <v>4</v>
      </c>
      <c r="BE30" s="96">
        <f>IF(OR(Matriz_Riesgos[[#This Row],[Tope F (AUX)]]="",Matriz_Riesgos[[#This Row],[F_base (AUX)]]=""),"",MAX(0,Matriz_Riesgos[[#This Row],[Tope F (AUX)]]-Matriz_Riesgos[[#This Row],[F_base (AUX)]]))</f>
        <v>0</v>
      </c>
      <c r="BF30" s="96">
        <f>IF(OR(Matriz_Riesgos[[#This Row],[Tope I (AUX)]]="",Matriz_Riesgos[[#This Row],[I_base (AUX)]]=""),"",MAX(0,Matriz_Riesgos[[#This Row],[Tope I (AUX)]]-Matriz_Riesgos[[#This Row],[I_base (AUX)]]))</f>
        <v>0</v>
      </c>
      <c r="BG30" s="96">
        <f>IF(OR(Matriz_Riesgos[[#This Row],[Suma Residual redondeada (AUX)]]="",Matriz_Riesgos[[#This Row],[F_base (AUX)]]="",Matriz_Riesgos[[#This Row],[I_base (AUX)]]=""),"",MAX(0,Matriz_Riesgos[[#This Row],[Suma Residual redondeada (AUX)]]-(Matriz_Riesgos[[#This Row],[F_base (AUX)]]+Matriz_Riesgos[[#This Row],[I_base (AUX)]])))</f>
        <v>0</v>
      </c>
      <c r="BH30" s="96">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30" s="96">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30" s="96">
        <f>IF(OR(Matriz_Riesgos[[#This Row],[Resto (AUX)]]="",Matriz_Riesgos[[#This Row],[Capacidad F (AUX)]]="",Matriz_Riesgos[[#This Row],[Inc_I (AUX)]]=""),"",MIN(Matriz_Riesgos[[#This Row],[Capacidad F (AUX)]], MAX(0,Matriz_Riesgos[[#This Row],[Resto (AUX)]]-Matriz_Riesgos[[#This Row],[Inc_I (AUX)]])))</f>
        <v>0</v>
      </c>
      <c r="BK30" s="96">
        <f>IFERROR(MAX(ROUND(Matriz_Riesgos[[#This Row],[Frecuencia Residual (AUX)]]+Matriz_Riesgos[[#This Row],[Impacto Residual (AUX)]]-1+Matriz_Riesgos[[#This Row],[Efectividad Total Ponderada de los Controles]],0),1),"")</f>
        <v>5</v>
      </c>
      <c r="BL30" s="96">
        <f>IFERROR(Matriz_Riesgos[[#This Row],[Valor del Riesgo Residual]]-Matriz_Riesgos[[#This Row],[Valor del Riesgo Residual (AUX)]],"")</f>
        <v>0</v>
      </c>
      <c r="BM30" s="96">
        <f>IFERROR(Matriz_Riesgos[[#This Row],[Frecuencia Residual]]+Matriz_Riesgos[[#This Row],[Impacto Residual]]-1,"")</f>
        <v>5</v>
      </c>
      <c r="BN30" s="96">
        <f>IFERROR(Matriz_Riesgos[[#This Row],[Valor del Riesgo Residual]]-Matriz_Riesgos[[#This Row],[VRR 2]],"")</f>
        <v>0</v>
      </c>
      <c r="BO30" s="96">
        <f>IFERROR(Matriz_Riesgos[[#This Row],[Frecuencia]]-Matriz_Riesgos[[#This Row],[Frecuencia Residual]],"")</f>
        <v>0</v>
      </c>
      <c r="BP30" s="96">
        <f>IFERROR(Matriz_Riesgos[[#This Row],[Impacto]]-Matriz_Riesgos[[#This Row],[Impacto Residual]],"")</f>
        <v>0</v>
      </c>
      <c r="BQ30" s="96">
        <f>IFERROR(Matriz_Riesgos[[#This Row],[Valor del Riesgo Inherente]]-Matriz_Riesgos[[#This Row],[Valor del Riesgo Residual]],"")</f>
        <v>0</v>
      </c>
      <c r="BR30" s="4"/>
      <c r="BS30" s="4"/>
      <c r="BT30" s="4"/>
      <c r="BU30" s="9"/>
      <c r="BV30" s="9"/>
      <c r="BW30" s="9"/>
      <c r="BX30" s="4"/>
      <c r="BY30" s="4"/>
      <c r="BZ30" s="4"/>
      <c r="CA30" s="4"/>
      <c r="CB30" s="4"/>
      <c r="CC30" s="4"/>
      <c r="CD30" s="4"/>
    </row>
    <row r="31" spans="1:75" ht="350.25" customHeight="1">
      <c r="A31" s="100">
        <v>30</v>
      </c>
      <c r="B31" s="37" t="inlineStr">
        <is>
          <t>RCUMP-COMPRAS-30</t>
        </is>
      </c>
      <c r="C31" s="4" t="s">
        <v>331</v>
      </c>
      <c r="D31" s="25"/>
      <c r="E31" s="36" t="s">
        <v>391</v>
      </c>
      <c r="F31" s="103" t="s">
        <v>432</v>
      </c>
      <c r="G31" s="6"/>
      <c r="H31" s="103" t="s">
        <v>433</v>
      </c>
      <c r="I31" s="144" t="s">
        <v>434</v>
      </c>
      <c r="J31" s="104">
        <v>3</v>
      </c>
      <c r="K31" s="104">
        <v>5</v>
      </c>
      <c r="L31" s="102">
        <f>IF((Matriz_Riesgos[[#This Row],[Frecuencia]]+Matriz_Riesgos[[#This Row],[Impacto]]-1)=-1,"",Matriz_Riesgos[[#This Row],[Frecuencia]]+Matriz_Riesgos[[#This Row],[Impacto]]-1)</f>
        <v>7</v>
      </c>
      <c r="M31" s="102" t="str">
        <f>IFERROR(VLOOKUP(Matriz_Riesgos[[#This Row],[Valor del Riesgo Inherente]],t_nivel_riesgo[],2,FALSE), "")</f>
        <v>Riesgo Alto</v>
      </c>
      <c r="N31" s="103" t="s">
        <v>435</v>
      </c>
      <c r="O31" s="104" t="s">
        <v>190</v>
      </c>
      <c r="P31" s="103" t="s">
        <v>364</v>
      </c>
      <c r="Q31" s="64"/>
      <c r="R31" s="64"/>
      <c r="S31" s="64"/>
      <c r="T31" s="107" t="s">
        <v>436</v>
      </c>
      <c r="U31" s="55"/>
      <c r="V31" s="56"/>
      <c r="W31" s="57"/>
      <c r="X31" s="107" t="s">
        <v>437</v>
      </c>
      <c r="Y31" s="55"/>
      <c r="Z31" s="37"/>
      <c r="AA31" s="57"/>
      <c r="AB31" s="107" t="s">
        <v>438</v>
      </c>
      <c r="AC31" s="55"/>
      <c r="AD31" s="56"/>
      <c r="AE31" s="57"/>
      <c r="AF31" s="25"/>
      <c r="AG31" s="66">
        <f>IF(AND(T31="",X31="",AB31=""),"",('Otras Tablas'!$B$3*IF(W31="",0,W31)+'Otras Tablas'!$B$4*IF(AA31="",0,AA31)+'Otras Tablas'!$B$5*IF(AE31="",0,AE31)))</f>
      </c>
      <c r="AH31" s="102" t="str">
        <f>IF(Matriz_Riesgos[[#This Row],[Riesgo Inherente]]="","",Matriz_Riesgos[[#This Row],[Riesgo Inherente]])</f>
        <v>Fragmentación indebida de procesos de contratación y/o licitaciones para evadir controles legales y administrativos</v>
      </c>
      <c r="AI31"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31"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31" s="102">
        <f>IFERROR(ROUND(MAX(1,Matriz_Riesgos[[#This Row],[Valor del Riesgo Inherente]]*(1 - Matriz_Riesgos[[#This Row],[Efectividad Total Ponderada de los Controles]])),0), "")</f>
        <v>7</v>
      </c>
      <c r="AL31" s="102" t="str">
        <f>IFERROR(VLOOKUP(Matriz_Riesgos[[#This Row],[Valor del Riesgo Residual]],t_nivel_riesgo[],2,FALSE),"")</f>
        <v>Riesgo Alto</v>
      </c>
      <c r="AM31" s="25" t="s">
        <v>197</v>
      </c>
      <c r="AN31" s="105" t="s">
        <v>439</v>
      </c>
      <c r="AO31" s="4"/>
      <c r="AP31" s="4"/>
      <c r="AQ31" s="4"/>
      <c r="AR31" s="4"/>
      <c r="AS31" s="4"/>
      <c r="AT31" s="4"/>
      <c r="AU31" s="4"/>
      <c r="AV31" s="4"/>
      <c r="AW31" s="4"/>
      <c r="AX31" s="96">
        <f>IFERROR((1-Matriz_Riesgos[[#This Row],[Efectividad Total Ponderada de los Controles]])*Matriz_Riesgos[[#This Row],[Frecuencia]],"")</f>
        <v>3</v>
      </c>
      <c r="AY31" s="96">
        <f>IFERROR((1-Matriz_Riesgos[[#This Row],[Efectividad Total Ponderada de los Controles]])*Matriz_Riesgos[[#This Row],[Impacto]],"")</f>
        <v>5</v>
      </c>
      <c r="AZ31" s="96">
        <f>IFERROR(Matriz_Riesgos[[#This Row],[Valor del Riesgo Residual]] + 1, "")</f>
        <v>8</v>
      </c>
      <c r="BA31" s="96">
        <f>IFERROR(MAX(1, ROUNDDOWN(Matriz_Riesgos[[#This Row],[Frecuencia Residual (AUX)]],0)),"")</f>
        <v>3</v>
      </c>
      <c r="BB31" s="96">
        <f>IFERROR(MAX(1, ROUNDDOWN(Matriz_Riesgos[[#This Row],[Impacto Residual (AUX)]],0)),"")</f>
        <v>5</v>
      </c>
      <c r="BC31" s="96">
        <f>IF(Matriz_Riesgos[[#This Row],[Frecuencia]]="","",Matriz_Riesgos[[#This Row],[Frecuencia]])</f>
        <v>3</v>
      </c>
      <c r="BD31" s="96">
        <f>IF(Matriz_Riesgos[[#This Row],[Impacto]]="","",Matriz_Riesgos[[#This Row],[Impacto]])</f>
        <v>5</v>
      </c>
      <c r="BE31" s="96">
        <f>IF(OR(Matriz_Riesgos[[#This Row],[Tope F (AUX)]]="",Matriz_Riesgos[[#This Row],[F_base (AUX)]]=""),"",MAX(0,Matriz_Riesgos[[#This Row],[Tope F (AUX)]]-Matriz_Riesgos[[#This Row],[F_base (AUX)]]))</f>
        <v>0</v>
      </c>
      <c r="BF31" s="96">
        <f>IF(OR(Matriz_Riesgos[[#This Row],[Tope I (AUX)]]="",Matriz_Riesgos[[#This Row],[I_base (AUX)]]=""),"",MAX(0,Matriz_Riesgos[[#This Row],[Tope I (AUX)]]-Matriz_Riesgos[[#This Row],[I_base (AUX)]]))</f>
        <v>0</v>
      </c>
      <c r="BG31" s="96">
        <f>IF(OR(Matriz_Riesgos[[#This Row],[Suma Residual redondeada (AUX)]]="",Matriz_Riesgos[[#This Row],[F_base (AUX)]]="",Matriz_Riesgos[[#This Row],[I_base (AUX)]]=""),"",MAX(0,Matriz_Riesgos[[#This Row],[Suma Residual redondeada (AUX)]]-(Matriz_Riesgos[[#This Row],[F_base (AUX)]]+Matriz_Riesgos[[#This Row],[I_base (AUX)]])))</f>
        <v>0</v>
      </c>
      <c r="BH31" s="96">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31" s="96">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31" s="96">
        <f>IF(OR(Matriz_Riesgos[[#This Row],[Resto (AUX)]]="",Matriz_Riesgos[[#This Row],[Capacidad F (AUX)]]="",Matriz_Riesgos[[#This Row],[Inc_I (AUX)]]=""),"",MIN(Matriz_Riesgos[[#This Row],[Capacidad F (AUX)]], MAX(0,Matriz_Riesgos[[#This Row],[Resto (AUX)]]-Matriz_Riesgos[[#This Row],[Inc_I (AUX)]])))</f>
        <v>0</v>
      </c>
      <c r="BK31" s="96">
        <f>IFERROR(MAX(ROUND(Matriz_Riesgos[[#This Row],[Frecuencia Residual (AUX)]]+Matriz_Riesgos[[#This Row],[Impacto Residual (AUX)]]-1+Matriz_Riesgos[[#This Row],[Efectividad Total Ponderada de los Controles]],0),1),"")</f>
        <v>7</v>
      </c>
      <c r="BL31" s="96">
        <f>IFERROR(Matriz_Riesgos[[#This Row],[Valor del Riesgo Residual]]-Matriz_Riesgos[[#This Row],[Valor del Riesgo Residual (AUX)]],"")</f>
        <v>0</v>
      </c>
      <c r="BM31" s="96">
        <f>IFERROR(Matriz_Riesgos[[#This Row],[Frecuencia Residual]]+Matriz_Riesgos[[#This Row],[Impacto Residual]]-1,"")</f>
        <v>7</v>
      </c>
      <c r="BN31" s="96">
        <f>IFERROR(Matriz_Riesgos[[#This Row],[Valor del Riesgo Residual]]-Matriz_Riesgos[[#This Row],[VRR 2]],"")</f>
        <v>0</v>
      </c>
      <c r="BO31" s="96">
        <f>IFERROR(Matriz_Riesgos[[#This Row],[Frecuencia]]-Matriz_Riesgos[[#This Row],[Frecuencia Residual]],"")</f>
        <v>0</v>
      </c>
      <c r="BP31" s="96">
        <f>IFERROR(Matriz_Riesgos[[#This Row],[Impacto]]-Matriz_Riesgos[[#This Row],[Impacto Residual]],"")</f>
        <v>0</v>
      </c>
      <c r="BQ31" s="96">
        <f>IFERROR(Matriz_Riesgos[[#This Row],[Valor del Riesgo Inherente]]-Matriz_Riesgos[[#This Row],[Valor del Riesgo Residual]],"")</f>
        <v>0</v>
      </c>
      <c r="BR31" s="98" t="s">
        <v>440</v>
      </c>
      <c r="BS31" s="98"/>
      <c r="BT31" s="98"/>
      <c r="BU31" s="9"/>
      <c r="BV31" s="9"/>
      <c r="BW31" s="9"/>
      <c r="BX31" s="98"/>
      <c r="BY31" s="98"/>
      <c r="BZ31" s="98"/>
      <c r="CA31" s="98"/>
      <c r="CB31" s="98"/>
      <c r="CC31" s="98"/>
      <c r="CD31" s="98"/>
    </row>
    <row r="32" spans="1:75" s="113" customFormat="1" ht="324.75" customHeight="1">
      <c r="A32" s="101">
        <v>31</v>
      </c>
      <c r="B32" s="102" t="inlineStr">
        <is>
          <t>RCUMP-COMPRAS-31</t>
        </is>
      </c>
      <c r="C32" s="103" t="s">
        <v>331</v>
      </c>
      <c r="D32" s="104"/>
      <c r="E32" s="104" t="s">
        <v>391</v>
      </c>
      <c r="F32" s="103" t="s">
        <v>432</v>
      </c>
      <c r="G32" s="105"/>
      <c r="H32" s="103" t="s">
        <v>441</v>
      </c>
      <c r="I32" s="144" t="s">
        <v>442</v>
      </c>
      <c r="J32" s="104">
        <v>3</v>
      </c>
      <c r="K32" s="104">
        <v>5</v>
      </c>
      <c r="L32" s="102">
        <f>IF((Matriz_Riesgos[[#This Row],[Frecuencia]]+Matriz_Riesgos[[#This Row],[Impacto]]-1)=-1,"",Matriz_Riesgos[[#This Row],[Frecuencia]]+Matriz_Riesgos[[#This Row],[Impacto]]-1)</f>
        <v>7</v>
      </c>
      <c r="M32" s="102" t="str">
        <f>IFERROR(VLOOKUP(Matriz_Riesgos[[#This Row],[Valor del Riesgo Inherente]],t_nivel_riesgo[],2,FALSE), "")</f>
        <v>Riesgo Alto</v>
      </c>
      <c r="N32" s="103" t="s">
        <v>435</v>
      </c>
      <c r="O32" s="104" t="s">
        <v>190</v>
      </c>
      <c r="P32" s="103" t="s">
        <v>443</v>
      </c>
      <c r="Q32" s="106"/>
      <c r="R32" s="106"/>
      <c r="S32" s="106"/>
      <c r="T32" s="107" t="s">
        <v>444</v>
      </c>
      <c r="U32" s="108"/>
      <c r="V32" s="109"/>
      <c r="W32" s="110"/>
      <c r="X32" s="107" t="s">
        <v>445</v>
      </c>
      <c r="Y32" s="108"/>
      <c r="Z32" s="102"/>
      <c r="AA32" s="110"/>
      <c r="AB32" s="107" t="s">
        <v>446</v>
      </c>
      <c r="AC32" s="108"/>
      <c r="AD32" s="109"/>
      <c r="AE32" s="110"/>
      <c r="AF32" s="104"/>
      <c r="AG32" s="111">
        <f>IF(AND(T32="",X32="",AB32=""),"",('Otras Tablas'!$B$3*IF(W32="",0,W32)+'Otras Tablas'!$B$4*IF(AA32="",0,AA32)+'Otras Tablas'!$B$5*IF(AE32="",0,AE32)))</f>
      </c>
      <c r="AH32" s="102" t="str">
        <f>IF(Matriz_Riesgos[[#This Row],[Riesgo Inherente]]="","",Matriz_Riesgos[[#This Row],[Riesgo Inherente]])</f>
        <v>Falta de segregación de funciones entre el diseño de pliegos y la evaluación de ofertas en procesos de contratación</v>
      </c>
      <c r="AI32"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32"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32" s="102">
        <f>IFERROR(ROUND(MAX(1,Matriz_Riesgos[[#This Row],[Valor del Riesgo Inherente]]*(1 - Matriz_Riesgos[[#This Row],[Efectividad Total Ponderada de los Controles]])),0), "")</f>
        <v>7</v>
      </c>
      <c r="AL32" s="102" t="str">
        <f>IFERROR(VLOOKUP(Matriz_Riesgos[[#This Row],[Valor del Riesgo Residual]],t_nivel_riesgo[],2,FALSE),"")</f>
        <v>Riesgo Alto</v>
      </c>
      <c r="AM32" s="104" t="s">
        <v>197</v>
      </c>
      <c r="AN32" s="105" t="s">
        <v>447</v>
      </c>
      <c r="AO32" s="103"/>
      <c r="AP32" s="103"/>
      <c r="AQ32" s="103"/>
      <c r="AR32" s="103"/>
      <c r="AS32" s="103"/>
      <c r="AT32" s="103"/>
      <c r="AU32" s="103"/>
      <c r="AV32" s="103"/>
      <c r="AW32" s="103"/>
      <c r="AX32" s="112">
        <f>IFERROR((1-Matriz_Riesgos[[#This Row],[Efectividad Total Ponderada de los Controles]])*Matriz_Riesgos[[#This Row],[Frecuencia]],"")</f>
        <v>3</v>
      </c>
      <c r="AY32" s="112">
        <f>IFERROR((1-Matriz_Riesgos[[#This Row],[Efectividad Total Ponderada de los Controles]])*Matriz_Riesgos[[#This Row],[Impacto]],"")</f>
        <v>5</v>
      </c>
      <c r="AZ32" s="112">
        <f>IFERROR(Matriz_Riesgos[[#This Row],[Valor del Riesgo Residual]] + 1, "")</f>
        <v>8</v>
      </c>
      <c r="BA32" s="112">
        <f>IFERROR(MAX(1, ROUNDDOWN(Matriz_Riesgos[[#This Row],[Frecuencia Residual (AUX)]],0)),"")</f>
        <v>3</v>
      </c>
      <c r="BB32" s="112">
        <f>IFERROR(MAX(1, ROUNDDOWN(Matriz_Riesgos[[#This Row],[Impacto Residual (AUX)]],0)),"")</f>
        <v>5</v>
      </c>
      <c r="BC32" s="112">
        <f>IF(Matriz_Riesgos[[#This Row],[Frecuencia]]="","",Matriz_Riesgos[[#This Row],[Frecuencia]])</f>
        <v>3</v>
      </c>
      <c r="BD32" s="112">
        <f>IF(Matriz_Riesgos[[#This Row],[Impacto]]="","",Matriz_Riesgos[[#This Row],[Impacto]])</f>
        <v>5</v>
      </c>
      <c r="BE32" s="112">
        <f>IF(OR(Matriz_Riesgos[[#This Row],[Tope F (AUX)]]="",Matriz_Riesgos[[#This Row],[F_base (AUX)]]=""),"",MAX(0,Matriz_Riesgos[[#This Row],[Tope F (AUX)]]-Matriz_Riesgos[[#This Row],[F_base (AUX)]]))</f>
        <v>0</v>
      </c>
      <c r="BF32" s="112">
        <f>IF(OR(Matriz_Riesgos[[#This Row],[Tope I (AUX)]]="",Matriz_Riesgos[[#This Row],[I_base (AUX)]]=""),"",MAX(0,Matriz_Riesgos[[#This Row],[Tope I (AUX)]]-Matriz_Riesgos[[#This Row],[I_base (AUX)]]))</f>
        <v>0</v>
      </c>
      <c r="BG32" s="112">
        <f>IF(OR(Matriz_Riesgos[[#This Row],[Suma Residual redondeada (AUX)]]="",Matriz_Riesgos[[#This Row],[F_base (AUX)]]="",Matriz_Riesgos[[#This Row],[I_base (AUX)]]=""),"",MAX(0,Matriz_Riesgos[[#This Row],[Suma Residual redondeada (AUX)]]-(Matriz_Riesgos[[#This Row],[F_base (AUX)]]+Matriz_Riesgos[[#This Row],[I_base (AUX)]])))</f>
        <v>0</v>
      </c>
      <c r="BH32"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32"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32" s="112">
        <f>IF(OR(Matriz_Riesgos[[#This Row],[Resto (AUX)]]="",Matriz_Riesgos[[#This Row],[Capacidad F (AUX)]]="",Matriz_Riesgos[[#This Row],[Inc_I (AUX)]]=""),"",MIN(Matriz_Riesgos[[#This Row],[Capacidad F (AUX)]], MAX(0,Matriz_Riesgos[[#This Row],[Resto (AUX)]]-Matriz_Riesgos[[#This Row],[Inc_I (AUX)]])))</f>
        <v>0</v>
      </c>
      <c r="BK32" s="112">
        <f>IFERROR(MAX(ROUND(Matriz_Riesgos[[#This Row],[Frecuencia Residual (AUX)]]+Matriz_Riesgos[[#This Row],[Impacto Residual (AUX)]]-1+Matriz_Riesgos[[#This Row],[Efectividad Total Ponderada de los Controles]],0),1),"")</f>
        <v>7</v>
      </c>
      <c r="BL32" s="112">
        <f>IFERROR(Matriz_Riesgos[[#This Row],[Valor del Riesgo Residual]]-Matriz_Riesgos[[#This Row],[Valor del Riesgo Residual (AUX)]],"")</f>
        <v>0</v>
      </c>
      <c r="BM32" s="112">
        <f>IFERROR(Matriz_Riesgos[[#This Row],[Frecuencia Residual]]+Matriz_Riesgos[[#This Row],[Impacto Residual]]-1,"")</f>
        <v>7</v>
      </c>
      <c r="BN32" s="112">
        <f>IFERROR(Matriz_Riesgos[[#This Row],[Valor del Riesgo Residual]]-Matriz_Riesgos[[#This Row],[VRR 2]],"")</f>
        <v>0</v>
      </c>
      <c r="BO32" s="112">
        <f>IFERROR(Matriz_Riesgos[[#This Row],[Frecuencia]]-Matriz_Riesgos[[#This Row],[Frecuencia Residual]],"")</f>
        <v>0</v>
      </c>
      <c r="BP32" s="112">
        <f>IFERROR(Matriz_Riesgos[[#This Row],[Impacto]]-Matriz_Riesgos[[#This Row],[Impacto Residual]],"")</f>
        <v>0</v>
      </c>
      <c r="BQ32" s="112">
        <f>IFERROR(Matriz_Riesgos[[#This Row],[Valor del Riesgo Inherente]]-Matriz_Riesgos[[#This Row],[Valor del Riesgo Residual]],"")</f>
        <v>0</v>
      </c>
      <c r="BR32" s="107" t="s">
        <v>448</v>
      </c>
      <c r="BS32" s="107"/>
      <c r="BT32" s="107"/>
      <c r="BU32" s="107"/>
      <c r="BV32" s="107"/>
      <c r="BW32" s="107"/>
      <c r="BX32" s="107"/>
      <c r="BY32" s="107"/>
      <c r="BZ32" s="107"/>
      <c r="CA32" s="107"/>
      <c r="CB32" s="107"/>
      <c r="CC32" s="107"/>
      <c r="CD32" s="107"/>
    </row>
    <row r="33" spans="1:75" s="113" customFormat="1" ht="319.5" customHeight="1">
      <c r="A33" s="101">
        <v>32</v>
      </c>
      <c r="B33" s="102" t="inlineStr">
        <is>
          <t>RCUMP-COMPRAS-32</t>
        </is>
      </c>
      <c r="C33" s="103" t="s">
        <v>331</v>
      </c>
      <c r="D33" s="104"/>
      <c r="E33" s="104" t="s">
        <v>391</v>
      </c>
      <c r="F33" s="103" t="s">
        <v>432</v>
      </c>
      <c r="G33" s="105"/>
      <c r="H33" s="103" t="s">
        <v>449</v>
      </c>
      <c r="I33" s="144" t="s">
        <v>450</v>
      </c>
      <c r="J33" s="104">
        <v>2</v>
      </c>
      <c r="K33" s="104">
        <v>5</v>
      </c>
      <c r="L33" s="102">
        <f>IF((Matriz_Riesgos[[#This Row],[Frecuencia]]+Matriz_Riesgos[[#This Row],[Impacto]]-1)=-1,"",Matriz_Riesgos[[#This Row],[Frecuencia]]+Matriz_Riesgos[[#This Row],[Impacto]]-1)</f>
        <v>6</v>
      </c>
      <c r="M33" s="102" t="str">
        <f>IFERROR(VLOOKUP(Matriz_Riesgos[[#This Row],[Valor del Riesgo Inherente]],t_nivel_riesgo[],2,FALSE), "")</f>
        <v>Riesgo Alto</v>
      </c>
      <c r="N33" s="103" t="s">
        <v>451</v>
      </c>
      <c r="O33" s="104" t="s">
        <v>190</v>
      </c>
      <c r="P33" s="103" t="s">
        <v>364</v>
      </c>
      <c r="Q33" s="106"/>
      <c r="R33" s="106"/>
      <c r="S33" s="106"/>
      <c r="T33" s="107" t="s">
        <v>452</v>
      </c>
      <c r="U33" s="108"/>
      <c r="V33" s="109"/>
      <c r="W33" s="110"/>
      <c r="X33" s="107" t="s">
        <v>453</v>
      </c>
      <c r="Y33" s="108"/>
      <c r="Z33" s="102"/>
      <c r="AA33" s="110"/>
      <c r="AB33" s="107" t="s">
        <v>454</v>
      </c>
      <c r="AC33" s="108"/>
      <c r="AD33" s="109"/>
      <c r="AE33" s="110"/>
      <c r="AF33" s="104"/>
      <c r="AG33" s="111">
        <f>IF(AND(T33="",X33="",AB33=""),"",('Otras Tablas'!$B$3*IF(W33="",0,W33)+'Otras Tablas'!$B$4*IF(AA33="",0,AA33)+'Otras Tablas'!$B$5*IF(AE33="",0,AE33)))</f>
      </c>
      <c r="AH33" s="102" t="str">
        <f>IF(Matriz_Riesgos[[#This Row],[Riesgo Inherente]]="","",Matriz_Riesgos[[#This Row],[Riesgo Inherente]])</f>
        <v>Participación de empresas vinculadas en procesos de contratación, generando colusión y simulación de competencia</v>
      </c>
      <c r="AI33"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2</v>
      </c>
      <c r="AJ33"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33" s="102">
        <f>IFERROR(ROUND(MAX(1,Matriz_Riesgos[[#This Row],[Valor del Riesgo Inherente]]*(1 - Matriz_Riesgos[[#This Row],[Efectividad Total Ponderada de los Controles]])),0), "")</f>
        <v>6</v>
      </c>
      <c r="AL33" s="102" t="str">
        <f>IFERROR(VLOOKUP(Matriz_Riesgos[[#This Row],[Valor del Riesgo Residual]],t_nivel_riesgo[],2,FALSE),"")</f>
        <v>Riesgo Alto</v>
      </c>
      <c r="AM33" s="104" t="s">
        <v>197</v>
      </c>
      <c r="AN33" s="105" t="s">
        <v>455</v>
      </c>
      <c r="AO33" s="103"/>
      <c r="AP33" s="103"/>
      <c r="AQ33" s="103"/>
      <c r="AR33" s="103"/>
      <c r="AS33" s="103"/>
      <c r="AT33" s="103"/>
      <c r="AU33" s="103"/>
      <c r="AV33" s="103"/>
      <c r="AW33" s="103"/>
      <c r="AX33" s="112">
        <f>IFERROR((1-Matriz_Riesgos[[#This Row],[Efectividad Total Ponderada de los Controles]])*Matriz_Riesgos[[#This Row],[Frecuencia]],"")</f>
        <v>2</v>
      </c>
      <c r="AY33" s="112">
        <f>IFERROR((1-Matriz_Riesgos[[#This Row],[Efectividad Total Ponderada de los Controles]])*Matriz_Riesgos[[#This Row],[Impacto]],"")</f>
        <v>5</v>
      </c>
      <c r="AZ33" s="112">
        <f>IFERROR(Matriz_Riesgos[[#This Row],[Valor del Riesgo Residual]] + 1, "")</f>
        <v>7</v>
      </c>
      <c r="BA33" s="112">
        <f>IFERROR(MAX(1, ROUNDDOWN(Matriz_Riesgos[[#This Row],[Frecuencia Residual (AUX)]],0)),"")</f>
        <v>2</v>
      </c>
      <c r="BB33" s="112">
        <f>IFERROR(MAX(1, ROUNDDOWN(Matriz_Riesgos[[#This Row],[Impacto Residual (AUX)]],0)),"")</f>
        <v>5</v>
      </c>
      <c r="BC33" s="112">
        <f>IF(Matriz_Riesgos[[#This Row],[Frecuencia]]="","",Matriz_Riesgos[[#This Row],[Frecuencia]])</f>
        <v>2</v>
      </c>
      <c r="BD33" s="112">
        <f>IF(Matriz_Riesgos[[#This Row],[Impacto]]="","",Matriz_Riesgos[[#This Row],[Impacto]])</f>
        <v>5</v>
      </c>
      <c r="BE33" s="112">
        <f>IF(OR(Matriz_Riesgos[[#This Row],[Tope F (AUX)]]="",Matriz_Riesgos[[#This Row],[F_base (AUX)]]=""),"",MAX(0,Matriz_Riesgos[[#This Row],[Tope F (AUX)]]-Matriz_Riesgos[[#This Row],[F_base (AUX)]]))</f>
        <v>0</v>
      </c>
      <c r="BF33" s="112">
        <f>IF(OR(Matriz_Riesgos[[#This Row],[Tope I (AUX)]]="",Matriz_Riesgos[[#This Row],[I_base (AUX)]]=""),"",MAX(0,Matriz_Riesgos[[#This Row],[Tope I (AUX)]]-Matriz_Riesgos[[#This Row],[I_base (AUX)]]))</f>
        <v>0</v>
      </c>
      <c r="BG33" s="112">
        <f>IF(OR(Matriz_Riesgos[[#This Row],[Suma Residual redondeada (AUX)]]="",Matriz_Riesgos[[#This Row],[F_base (AUX)]]="",Matriz_Riesgos[[#This Row],[I_base (AUX)]]=""),"",MAX(0,Matriz_Riesgos[[#This Row],[Suma Residual redondeada (AUX)]]-(Matriz_Riesgos[[#This Row],[F_base (AUX)]]+Matriz_Riesgos[[#This Row],[I_base (AUX)]])))</f>
        <v>0</v>
      </c>
      <c r="BH33"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33"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33" s="112">
        <f>IF(OR(Matriz_Riesgos[[#This Row],[Resto (AUX)]]="",Matriz_Riesgos[[#This Row],[Capacidad F (AUX)]]="",Matriz_Riesgos[[#This Row],[Inc_I (AUX)]]=""),"",MIN(Matriz_Riesgos[[#This Row],[Capacidad F (AUX)]], MAX(0,Matriz_Riesgos[[#This Row],[Resto (AUX)]]-Matriz_Riesgos[[#This Row],[Inc_I (AUX)]])))</f>
        <v>0</v>
      </c>
      <c r="BK33" s="112">
        <f>IFERROR(MAX(ROUND(Matriz_Riesgos[[#This Row],[Frecuencia Residual (AUX)]]+Matriz_Riesgos[[#This Row],[Impacto Residual (AUX)]]-1+Matriz_Riesgos[[#This Row],[Efectividad Total Ponderada de los Controles]],0),1),"")</f>
        <v>6</v>
      </c>
      <c r="BL33" s="112">
        <f>IFERROR(Matriz_Riesgos[[#This Row],[Valor del Riesgo Residual]]-Matriz_Riesgos[[#This Row],[Valor del Riesgo Residual (AUX)]],"")</f>
        <v>0</v>
      </c>
      <c r="BM33" s="112">
        <f>IFERROR(Matriz_Riesgos[[#This Row],[Frecuencia Residual]]+Matriz_Riesgos[[#This Row],[Impacto Residual]]-1,"")</f>
        <v>6</v>
      </c>
      <c r="BN33" s="112">
        <f>IFERROR(Matriz_Riesgos[[#This Row],[Valor del Riesgo Residual]]-Matriz_Riesgos[[#This Row],[VRR 2]],"")</f>
        <v>0</v>
      </c>
      <c r="BO33" s="112">
        <f>IFERROR(Matriz_Riesgos[[#This Row],[Frecuencia]]-Matriz_Riesgos[[#This Row],[Frecuencia Residual]],"")</f>
        <v>0</v>
      </c>
      <c r="BP33" s="112">
        <f>IFERROR(Matriz_Riesgos[[#This Row],[Impacto]]-Matriz_Riesgos[[#This Row],[Impacto Residual]],"")</f>
        <v>0</v>
      </c>
      <c r="BQ33" s="112">
        <f>IFERROR(Matriz_Riesgos[[#This Row],[Valor del Riesgo Inherente]]-Matriz_Riesgos[[#This Row],[Valor del Riesgo Residual]],"")</f>
        <v>0</v>
      </c>
      <c r="BR33" s="107" t="s">
        <v>456</v>
      </c>
      <c r="BS33" s="107"/>
      <c r="BT33" s="107"/>
      <c r="BU33" s="107"/>
      <c r="BV33" s="107"/>
      <c r="BW33" s="107"/>
      <c r="BX33" s="107"/>
      <c r="BY33" s="107"/>
      <c r="BZ33" s="107"/>
      <c r="CA33" s="107"/>
      <c r="CB33" s="107"/>
      <c r="CC33" s="107"/>
      <c r="CD33" s="107"/>
    </row>
    <row r="34" spans="1:75" ht="237.75" customHeight="1">
      <c r="A34" s="100">
        <v>33</v>
      </c>
      <c r="B34" s="37" t="inlineStr">
        <is>
          <t>RCUMP-COMPRAS-33</t>
        </is>
      </c>
      <c r="C34" s="4" t="s">
        <v>331</v>
      </c>
      <c r="D34" s="25"/>
      <c r="E34" s="36" t="s">
        <v>391</v>
      </c>
      <c r="F34" s="4" t="s">
        <v>457</v>
      </c>
      <c r="G34" s="6"/>
      <c r="H34" s="4" t="s">
        <v>458</v>
      </c>
      <c r="I34" s="145" t="s">
        <v>459</v>
      </c>
      <c r="J34" s="25">
        <v>2</v>
      </c>
      <c r="K34" s="25">
        <v>4</v>
      </c>
      <c r="L34" s="37">
        <f>IF((Matriz_Riesgos[[#This Row],[Frecuencia]]+Matriz_Riesgos[[#This Row],[Impacto]]-1)=-1,"",Matriz_Riesgos[[#This Row],[Frecuencia]]+Matriz_Riesgos[[#This Row],[Impacto]]-1)</f>
        <v>5</v>
      </c>
      <c r="M34" s="37" t="str">
        <f>IFERROR(VLOOKUP(Matriz_Riesgos[[#This Row],[Valor del Riesgo Inherente]],t_nivel_riesgo[],2,FALSE), "")</f>
        <v>Riesgo Medio</v>
      </c>
      <c r="N34" s="4" t="s">
        <v>331</v>
      </c>
      <c r="O34" s="25" t="s">
        <v>190</v>
      </c>
      <c r="P34" s="4" t="s">
        <v>364</v>
      </c>
      <c r="Q34" s="64"/>
      <c r="R34" s="64"/>
      <c r="S34" s="64"/>
      <c r="T34" s="98"/>
      <c r="U34" s="55"/>
      <c r="V34" s="56"/>
      <c r="W34" s="57"/>
      <c r="X34" s="4"/>
      <c r="Y34" s="55"/>
      <c r="Z34" s="37"/>
      <c r="AA34" s="57"/>
      <c r="AB34" s="4"/>
      <c r="AC34" s="55"/>
      <c r="AD34" s="56"/>
      <c r="AE34" s="57"/>
      <c r="AF34" s="25"/>
      <c r="AG34" s="66">
        <f>IF(AND(T34="",X34="",AB34=""),"",('Otras Tablas'!$B$3*IF(W34="",0,W34)+'Otras Tablas'!$B$4*IF(AA34="",0,AA34)+'Otras Tablas'!$B$5*IF(AE34="",0,AE34)))</f>
      </c>
      <c r="AH34" s="102" t="str">
        <f>IF(Matriz_Riesgos[[#This Row],[Riesgo Inherente]]="","",Matriz_Riesgos[[#This Row],[Riesgo Inherente]])</f>
        <v>Proveedor carece de experiencia con el producto, servicio, sector o industria, cuenta con personal insuficiente o mal calificado, no dispone de instalaciones adecuadas, o de alguna otra forma parece ser incapaz de cumplir con la operación propuesta</v>
      </c>
      <c r="AI34"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2</v>
      </c>
      <c r="AJ34"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4</v>
      </c>
      <c r="AK34" s="102">
        <f>IFERROR(ROUND(MAX(1,Matriz_Riesgos[[#This Row],[Valor del Riesgo Inherente]]*(1 - Matriz_Riesgos[[#This Row],[Efectividad Total Ponderada de los Controles]])),0), "")</f>
        <v>5</v>
      </c>
      <c r="AL34" s="102" t="str">
        <f>IFERROR(VLOOKUP(Matriz_Riesgos[[#This Row],[Valor del Riesgo Residual]],t_nivel_riesgo[],2,FALSE),"")</f>
        <v>Riesgo Medio</v>
      </c>
      <c r="AM34" s="25" t="s">
        <v>197</v>
      </c>
      <c r="AN34" s="6"/>
      <c r="AO34" s="4"/>
      <c r="AP34" s="4"/>
      <c r="AQ34" s="4"/>
      <c r="AR34" s="4"/>
      <c r="AS34" s="4"/>
      <c r="AT34" s="4"/>
      <c r="AU34" s="4"/>
      <c r="AV34" s="4"/>
      <c r="AW34" s="4"/>
      <c r="AX34" s="96">
        <f>IFERROR((1-Matriz_Riesgos[[#This Row],[Efectividad Total Ponderada de los Controles]])*Matriz_Riesgos[[#This Row],[Frecuencia]],"")</f>
        <v>2</v>
      </c>
      <c r="AY34" s="96">
        <f>IFERROR((1-Matriz_Riesgos[[#This Row],[Efectividad Total Ponderada de los Controles]])*Matriz_Riesgos[[#This Row],[Impacto]],"")</f>
        <v>4</v>
      </c>
      <c r="AZ34" s="96">
        <f>IFERROR(Matriz_Riesgos[[#This Row],[Valor del Riesgo Residual]] + 1, "")</f>
        <v>6</v>
      </c>
      <c r="BA34" s="96">
        <f>IFERROR(MAX(1, ROUNDDOWN(Matriz_Riesgos[[#This Row],[Frecuencia Residual (AUX)]],0)),"")</f>
        <v>2</v>
      </c>
      <c r="BB34" s="96">
        <f>IFERROR(MAX(1, ROUNDDOWN(Matriz_Riesgos[[#This Row],[Impacto Residual (AUX)]],0)),"")</f>
        <v>4</v>
      </c>
      <c r="BC34" s="96">
        <f>IF(Matriz_Riesgos[[#This Row],[Frecuencia]]="","",Matriz_Riesgos[[#This Row],[Frecuencia]])</f>
        <v>2</v>
      </c>
      <c r="BD34" s="96">
        <f>IF(Matriz_Riesgos[[#This Row],[Impacto]]="","",Matriz_Riesgos[[#This Row],[Impacto]])</f>
        <v>4</v>
      </c>
      <c r="BE34" s="96">
        <f>IF(OR(Matriz_Riesgos[[#This Row],[Tope F (AUX)]]="",Matriz_Riesgos[[#This Row],[F_base (AUX)]]=""),"",MAX(0,Matriz_Riesgos[[#This Row],[Tope F (AUX)]]-Matriz_Riesgos[[#This Row],[F_base (AUX)]]))</f>
        <v>0</v>
      </c>
      <c r="BF34" s="96">
        <f>IF(OR(Matriz_Riesgos[[#This Row],[Tope I (AUX)]]="",Matriz_Riesgos[[#This Row],[I_base (AUX)]]=""),"",MAX(0,Matriz_Riesgos[[#This Row],[Tope I (AUX)]]-Matriz_Riesgos[[#This Row],[I_base (AUX)]]))</f>
        <v>0</v>
      </c>
      <c r="BG34" s="96">
        <f>IF(OR(Matriz_Riesgos[[#This Row],[Suma Residual redondeada (AUX)]]="",Matriz_Riesgos[[#This Row],[F_base (AUX)]]="",Matriz_Riesgos[[#This Row],[I_base (AUX)]]=""),"",MAX(0,Matriz_Riesgos[[#This Row],[Suma Residual redondeada (AUX)]]-(Matriz_Riesgos[[#This Row],[F_base (AUX)]]+Matriz_Riesgos[[#This Row],[I_base (AUX)]])))</f>
        <v>0</v>
      </c>
      <c r="BH34" s="96">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34" s="96">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34" s="96">
        <f>IF(OR(Matriz_Riesgos[[#This Row],[Resto (AUX)]]="",Matriz_Riesgos[[#This Row],[Capacidad F (AUX)]]="",Matriz_Riesgos[[#This Row],[Inc_I (AUX)]]=""),"",MIN(Matriz_Riesgos[[#This Row],[Capacidad F (AUX)]], MAX(0,Matriz_Riesgos[[#This Row],[Resto (AUX)]]-Matriz_Riesgos[[#This Row],[Inc_I (AUX)]])))</f>
        <v>0</v>
      </c>
      <c r="BK34" s="96">
        <f>IFERROR(MAX(ROUND(Matriz_Riesgos[[#This Row],[Frecuencia Residual (AUX)]]+Matriz_Riesgos[[#This Row],[Impacto Residual (AUX)]]-1+Matriz_Riesgos[[#This Row],[Efectividad Total Ponderada de los Controles]],0),1),"")</f>
        <v>5</v>
      </c>
      <c r="BL34" s="96">
        <f>IFERROR(Matriz_Riesgos[[#This Row],[Valor del Riesgo Residual]]-Matriz_Riesgos[[#This Row],[Valor del Riesgo Residual (AUX)]],"")</f>
        <v>0</v>
      </c>
      <c r="BM34" s="96">
        <f>IFERROR(Matriz_Riesgos[[#This Row],[Frecuencia Residual]]+Matriz_Riesgos[[#This Row],[Impacto Residual]]-1,"")</f>
        <v>5</v>
      </c>
      <c r="BN34" s="96">
        <f>IFERROR(Matriz_Riesgos[[#This Row],[Valor del Riesgo Residual]]-Matriz_Riesgos[[#This Row],[VRR 2]],"")</f>
        <v>0</v>
      </c>
      <c r="BO34" s="96">
        <f>IFERROR(Matriz_Riesgos[[#This Row],[Frecuencia]]-Matriz_Riesgos[[#This Row],[Frecuencia Residual]],"")</f>
        <v>0</v>
      </c>
      <c r="BP34" s="96">
        <f>IFERROR(Matriz_Riesgos[[#This Row],[Impacto]]-Matriz_Riesgos[[#This Row],[Impacto Residual]],"")</f>
        <v>0</v>
      </c>
      <c r="BQ34" s="96">
        <f>IFERROR(Matriz_Riesgos[[#This Row],[Valor del Riesgo Inherente]]-Matriz_Riesgos[[#This Row],[Valor del Riesgo Residual]],"")</f>
        <v>0</v>
      </c>
      <c r="BR34" s="4"/>
      <c r="BS34" s="4"/>
      <c r="BT34" s="4"/>
      <c r="BU34" s="9"/>
      <c r="BV34" s="9"/>
      <c r="BW34" s="9"/>
      <c r="BX34" s="4"/>
      <c r="BY34" s="4"/>
      <c r="BZ34" s="4"/>
      <c r="CA34" s="4"/>
      <c r="CB34" s="4"/>
      <c r="CC34" s="4"/>
      <c r="CD34" s="4"/>
    </row>
    <row r="35" spans="1:75" s="113" customFormat="1" ht="346.5" customHeight="1">
      <c r="A35" s="101">
        <v>34</v>
      </c>
      <c r="B35" s="102" t="inlineStr">
        <is>
          <t>RCUMP-COMPRAS-34</t>
        </is>
      </c>
      <c r="C35" s="103" t="s">
        <v>331</v>
      </c>
      <c r="D35" s="104"/>
      <c r="E35" s="104" t="s">
        <v>391</v>
      </c>
      <c r="F35" s="103" t="s">
        <v>432</v>
      </c>
      <c r="G35" s="105"/>
      <c r="H35" s="103" t="s">
        <v>460</v>
      </c>
      <c r="I35" s="144" t="s">
        <v>461</v>
      </c>
      <c r="J35" s="104">
        <v>2</v>
      </c>
      <c r="K35" s="104">
        <v>5</v>
      </c>
      <c r="L35" s="102">
        <f>IF((Matriz_Riesgos[[#This Row],[Frecuencia]]+Matriz_Riesgos[[#This Row],[Impacto]]-1)=-1,"",Matriz_Riesgos[[#This Row],[Frecuencia]]+Matriz_Riesgos[[#This Row],[Impacto]]-1)</f>
        <v>6</v>
      </c>
      <c r="M35" s="102" t="str">
        <f>IFERROR(VLOOKUP(Matriz_Riesgos[[#This Row],[Valor del Riesgo Inherente]],t_nivel_riesgo[],2,FALSE), "")</f>
        <v>Riesgo Alto</v>
      </c>
      <c r="N35" s="103" t="s">
        <v>435</v>
      </c>
      <c r="O35" s="104" t="s">
        <v>190</v>
      </c>
      <c r="P35" s="103" t="s">
        <v>364</v>
      </c>
      <c r="Q35" s="106"/>
      <c r="R35" s="106"/>
      <c r="S35" s="106"/>
      <c r="T35" s="107" t="s">
        <v>462</v>
      </c>
      <c r="U35" s="108"/>
      <c r="V35" s="109"/>
      <c r="W35" s="110"/>
      <c r="X35" s="103"/>
      <c r="Y35" s="108"/>
      <c r="Z35" s="102"/>
      <c r="AA35" s="110"/>
      <c r="AB35" s="103"/>
      <c r="AC35" s="108"/>
      <c r="AD35" s="109"/>
      <c r="AE35" s="110"/>
      <c r="AF35" s="104"/>
      <c r="AG35" s="111">
        <f>IF(AND(T35="",X35="",AB35=""),"",('Otras Tablas'!$B$3*IF(W35="",0,W35)+'Otras Tablas'!$B$4*IF(AA35="",0,AA35)+'Otras Tablas'!$B$5*IF(AE35="",0,AE35)))</f>
      </c>
      <c r="AH35" s="102" t="str">
        <f>IF(Matriz_Riesgos[[#This Row],[Riesgo Inherente]]="","",Matriz_Riesgos[[#This Row],[Riesgo Inherente]])</f>
        <v>Adjudicación de contratos sin cumplimiento del procedimiento de contratación y evaluación técnica–económica</v>
      </c>
      <c r="AI35"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2</v>
      </c>
      <c r="AJ35"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35" s="102">
        <f>IFERROR(ROUND(MAX(1,Matriz_Riesgos[[#This Row],[Valor del Riesgo Inherente]]*(1 - Matriz_Riesgos[[#This Row],[Efectividad Total Ponderada de los Controles]])),0), "")</f>
        <v>6</v>
      </c>
      <c r="AL35" s="102" t="str">
        <f>IFERROR(VLOOKUP(Matriz_Riesgos[[#This Row],[Valor del Riesgo Residual]],t_nivel_riesgo[],2,FALSE),"")</f>
        <v>Riesgo Alto</v>
      </c>
      <c r="AM35" s="104" t="s">
        <v>197</v>
      </c>
      <c r="AN35" s="105" t="s">
        <v>463</v>
      </c>
      <c r="AO35" s="103"/>
      <c r="AP35" s="103"/>
      <c r="AQ35" s="103"/>
      <c r="AR35" s="103"/>
      <c r="AS35" s="103"/>
      <c r="AT35" s="103"/>
      <c r="AU35" s="103"/>
      <c r="AV35" s="103"/>
      <c r="AW35" s="103"/>
      <c r="AX35" s="112">
        <f>IFERROR((1-Matriz_Riesgos[[#This Row],[Efectividad Total Ponderada de los Controles]])*Matriz_Riesgos[[#This Row],[Frecuencia]],"")</f>
        <v>2</v>
      </c>
      <c r="AY35" s="112">
        <f>IFERROR((1-Matriz_Riesgos[[#This Row],[Efectividad Total Ponderada de los Controles]])*Matriz_Riesgos[[#This Row],[Impacto]],"")</f>
        <v>5</v>
      </c>
      <c r="AZ35" s="112">
        <f>IFERROR(Matriz_Riesgos[[#This Row],[Valor del Riesgo Residual]] + 1, "")</f>
        <v>7</v>
      </c>
      <c r="BA35" s="112">
        <f>IFERROR(MAX(1, ROUNDDOWN(Matriz_Riesgos[[#This Row],[Frecuencia Residual (AUX)]],0)),"")</f>
        <v>2</v>
      </c>
      <c r="BB35" s="112">
        <f>IFERROR(MAX(1, ROUNDDOWN(Matriz_Riesgos[[#This Row],[Impacto Residual (AUX)]],0)),"")</f>
        <v>5</v>
      </c>
      <c r="BC35" s="112">
        <f>IF(Matriz_Riesgos[[#This Row],[Frecuencia]]="","",Matriz_Riesgos[[#This Row],[Frecuencia]])</f>
        <v>2</v>
      </c>
      <c r="BD35" s="112">
        <f>IF(Matriz_Riesgos[[#This Row],[Impacto]]="","",Matriz_Riesgos[[#This Row],[Impacto]])</f>
        <v>5</v>
      </c>
      <c r="BE35" s="112">
        <f>IF(OR(Matriz_Riesgos[[#This Row],[Tope F (AUX)]]="",Matriz_Riesgos[[#This Row],[F_base (AUX)]]=""),"",MAX(0,Matriz_Riesgos[[#This Row],[Tope F (AUX)]]-Matriz_Riesgos[[#This Row],[F_base (AUX)]]))</f>
        <v>0</v>
      </c>
      <c r="BF35" s="112">
        <f>IF(OR(Matriz_Riesgos[[#This Row],[Tope I (AUX)]]="",Matriz_Riesgos[[#This Row],[I_base (AUX)]]=""),"",MAX(0,Matriz_Riesgos[[#This Row],[Tope I (AUX)]]-Matriz_Riesgos[[#This Row],[I_base (AUX)]]))</f>
        <v>0</v>
      </c>
      <c r="BG35" s="112">
        <f>IF(OR(Matriz_Riesgos[[#This Row],[Suma Residual redondeada (AUX)]]="",Matriz_Riesgos[[#This Row],[F_base (AUX)]]="",Matriz_Riesgos[[#This Row],[I_base (AUX)]]=""),"",MAX(0,Matriz_Riesgos[[#This Row],[Suma Residual redondeada (AUX)]]-(Matriz_Riesgos[[#This Row],[F_base (AUX)]]+Matriz_Riesgos[[#This Row],[I_base (AUX)]])))</f>
        <v>0</v>
      </c>
      <c r="BH35"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35"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35" s="112">
        <f>IF(OR(Matriz_Riesgos[[#This Row],[Resto (AUX)]]="",Matriz_Riesgos[[#This Row],[Capacidad F (AUX)]]="",Matriz_Riesgos[[#This Row],[Inc_I (AUX)]]=""),"",MIN(Matriz_Riesgos[[#This Row],[Capacidad F (AUX)]], MAX(0,Matriz_Riesgos[[#This Row],[Resto (AUX)]]-Matriz_Riesgos[[#This Row],[Inc_I (AUX)]])))</f>
        <v>0</v>
      </c>
      <c r="BK35" s="112">
        <f>IFERROR(MAX(ROUND(Matriz_Riesgos[[#This Row],[Frecuencia Residual (AUX)]]+Matriz_Riesgos[[#This Row],[Impacto Residual (AUX)]]-1+Matriz_Riesgos[[#This Row],[Efectividad Total Ponderada de los Controles]],0),1),"")</f>
        <v>6</v>
      </c>
      <c r="BL35" s="112">
        <f>IFERROR(Matriz_Riesgos[[#This Row],[Valor del Riesgo Residual]]-Matriz_Riesgos[[#This Row],[Valor del Riesgo Residual (AUX)]],"")</f>
        <v>0</v>
      </c>
      <c r="BM35" s="112">
        <f>IFERROR(Matriz_Riesgos[[#This Row],[Frecuencia Residual]]+Matriz_Riesgos[[#This Row],[Impacto Residual]]-1,"")</f>
        <v>6</v>
      </c>
      <c r="BN35" s="112">
        <f>IFERROR(Matriz_Riesgos[[#This Row],[Valor del Riesgo Residual]]-Matriz_Riesgos[[#This Row],[VRR 2]],"")</f>
        <v>0</v>
      </c>
      <c r="BO35" s="112">
        <f>IFERROR(Matriz_Riesgos[[#This Row],[Frecuencia]]-Matriz_Riesgos[[#This Row],[Frecuencia Residual]],"")</f>
        <v>0</v>
      </c>
      <c r="BP35" s="112">
        <f>IFERROR(Matriz_Riesgos[[#This Row],[Impacto]]-Matriz_Riesgos[[#This Row],[Impacto Residual]],"")</f>
        <v>0</v>
      </c>
      <c r="BQ35" s="112">
        <f>IFERROR(Matriz_Riesgos[[#This Row],[Valor del Riesgo Inherente]]-Matriz_Riesgos[[#This Row],[Valor del Riesgo Residual]],"")</f>
        <v>0</v>
      </c>
      <c r="BR35" s="107" t="s">
        <v>464</v>
      </c>
      <c r="BS35" s="107"/>
      <c r="BT35" s="107"/>
      <c r="BU35" s="107"/>
      <c r="BV35" s="107"/>
      <c r="BW35" s="107"/>
      <c r="BX35" s="107"/>
      <c r="BY35" s="107"/>
      <c r="BZ35" s="107"/>
      <c r="CA35" s="107"/>
      <c r="CB35" s="107"/>
      <c r="CC35" s="107"/>
      <c r="CD35" s="107"/>
    </row>
    <row r="36" spans="1:75" s="113" customFormat="1" ht="353.25" customHeight="1">
      <c r="A36" s="101">
        <v>35</v>
      </c>
      <c r="B36" s="102" t="inlineStr">
        <is>
          <t>RCUMP-COMPRAS-35</t>
        </is>
      </c>
      <c r="C36" s="103" t="s">
        <v>331</v>
      </c>
      <c r="D36" s="104"/>
      <c r="E36" s="104" t="s">
        <v>391</v>
      </c>
      <c r="F36" s="103" t="s">
        <v>465</v>
      </c>
      <c r="G36" s="105"/>
      <c r="H36" s="103" t="s">
        <v>466</v>
      </c>
      <c r="I36" s="144" t="s">
        <v>467</v>
      </c>
      <c r="J36" s="104">
        <v>3</v>
      </c>
      <c r="K36" s="104">
        <v>5</v>
      </c>
      <c r="L36" s="102">
        <f>IF((Matriz_Riesgos[[#This Row],[Frecuencia]]+Matriz_Riesgos[[#This Row],[Impacto]]-1)=-1,"",Matriz_Riesgos[[#This Row],[Frecuencia]]+Matriz_Riesgos[[#This Row],[Impacto]]-1)</f>
        <v>7</v>
      </c>
      <c r="M36" s="102" t="str">
        <f>IFERROR(VLOOKUP(Matriz_Riesgos[[#This Row],[Valor del Riesgo Inherente]],t_nivel_riesgo[],2,FALSE), "")</f>
        <v>Riesgo Alto</v>
      </c>
      <c r="N36" s="103" t="s">
        <v>468</v>
      </c>
      <c r="O36" s="104" t="s">
        <v>190</v>
      </c>
      <c r="P36" s="103" t="s">
        <v>364</v>
      </c>
      <c r="Q36" s="106"/>
      <c r="R36" s="106"/>
      <c r="S36" s="106"/>
      <c r="T36" s="107" t="s">
        <v>469</v>
      </c>
      <c r="U36" s="108"/>
      <c r="V36" s="109"/>
      <c r="W36" s="110"/>
      <c r="X36" s="107" t="s">
        <v>470</v>
      </c>
      <c r="Y36" s="108"/>
      <c r="Z36" s="102"/>
      <c r="AA36" s="110"/>
      <c r="AB36" s="107" t="s">
        <v>471</v>
      </c>
      <c r="AC36" s="108"/>
      <c r="AD36" s="109"/>
      <c r="AE36" s="110"/>
      <c r="AF36" s="104"/>
      <c r="AG36" s="111">
        <f>IF(AND(T36="",X36="",AB36=""),"",('Otras Tablas'!$B$3*IF(W36="",0,W36)+'Otras Tablas'!$B$4*IF(AA36="",0,AA36)+'Otras Tablas'!$B$5*IF(AE36="",0,AE36)))</f>
      </c>
      <c r="AH36" s="102" t="str">
        <f>IF(Matriz_Riesgos[[#This Row],[Riesgo Inherente]]="","",Matriz_Riesgos[[#This Row],[Riesgo Inherente]])</f>
        <v>Definición y otorgamiento de anticipos contractuales desproporcionados sin garantías adecuadas de ejecución</v>
      </c>
      <c r="AI36"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36"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36" s="102">
        <f>IFERROR(ROUND(MAX(1,Matriz_Riesgos[[#This Row],[Valor del Riesgo Inherente]]*(1 - Matriz_Riesgos[[#This Row],[Efectividad Total Ponderada de los Controles]])),0), "")</f>
        <v>7</v>
      </c>
      <c r="AL36" s="102" t="str">
        <f>IFERROR(VLOOKUP(Matriz_Riesgos[[#This Row],[Valor del Riesgo Residual]],t_nivel_riesgo[],2,FALSE),"")</f>
        <v>Riesgo Alto</v>
      </c>
      <c r="AM36" s="104" t="s">
        <v>197</v>
      </c>
      <c r="AN36" s="105" t="s">
        <v>472</v>
      </c>
      <c r="AO36" s="103"/>
      <c r="AP36" s="103"/>
      <c r="AQ36" s="103"/>
      <c r="AR36" s="103"/>
      <c r="AS36" s="103"/>
      <c r="AT36" s="103"/>
      <c r="AU36" s="103"/>
      <c r="AV36" s="103"/>
      <c r="AW36" s="103"/>
      <c r="AX36" s="112">
        <f>IFERROR((1-Matriz_Riesgos[[#This Row],[Efectividad Total Ponderada de los Controles]])*Matriz_Riesgos[[#This Row],[Frecuencia]],"")</f>
        <v>3</v>
      </c>
      <c r="AY36" s="112">
        <f>IFERROR((1-Matriz_Riesgos[[#This Row],[Efectividad Total Ponderada de los Controles]])*Matriz_Riesgos[[#This Row],[Impacto]],"")</f>
        <v>5</v>
      </c>
      <c r="AZ36" s="112">
        <f>IFERROR(Matriz_Riesgos[[#This Row],[Valor del Riesgo Residual]] + 1, "")</f>
        <v>8</v>
      </c>
      <c r="BA36" s="112">
        <f>IFERROR(MAX(1, ROUNDDOWN(Matriz_Riesgos[[#This Row],[Frecuencia Residual (AUX)]],0)),"")</f>
        <v>3</v>
      </c>
      <c r="BB36" s="112">
        <f>IFERROR(MAX(1, ROUNDDOWN(Matriz_Riesgos[[#This Row],[Impacto Residual (AUX)]],0)),"")</f>
        <v>5</v>
      </c>
      <c r="BC36" s="112">
        <f>IF(Matriz_Riesgos[[#This Row],[Frecuencia]]="","",Matriz_Riesgos[[#This Row],[Frecuencia]])</f>
        <v>3</v>
      </c>
      <c r="BD36" s="112">
        <f>IF(Matriz_Riesgos[[#This Row],[Impacto]]="","",Matriz_Riesgos[[#This Row],[Impacto]])</f>
        <v>5</v>
      </c>
      <c r="BE36" s="112">
        <f>IF(OR(Matriz_Riesgos[[#This Row],[Tope F (AUX)]]="",Matriz_Riesgos[[#This Row],[F_base (AUX)]]=""),"",MAX(0,Matriz_Riesgos[[#This Row],[Tope F (AUX)]]-Matriz_Riesgos[[#This Row],[F_base (AUX)]]))</f>
        <v>0</v>
      </c>
      <c r="BF36" s="112">
        <f>IF(OR(Matriz_Riesgos[[#This Row],[Tope I (AUX)]]="",Matriz_Riesgos[[#This Row],[I_base (AUX)]]=""),"",MAX(0,Matriz_Riesgos[[#This Row],[Tope I (AUX)]]-Matriz_Riesgos[[#This Row],[I_base (AUX)]]))</f>
        <v>0</v>
      </c>
      <c r="BG36" s="112">
        <f>IF(OR(Matriz_Riesgos[[#This Row],[Suma Residual redondeada (AUX)]]="",Matriz_Riesgos[[#This Row],[F_base (AUX)]]="",Matriz_Riesgos[[#This Row],[I_base (AUX)]]=""),"",MAX(0,Matriz_Riesgos[[#This Row],[Suma Residual redondeada (AUX)]]-(Matriz_Riesgos[[#This Row],[F_base (AUX)]]+Matriz_Riesgos[[#This Row],[I_base (AUX)]])))</f>
        <v>0</v>
      </c>
      <c r="BH36"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36"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36" s="112">
        <f>IF(OR(Matriz_Riesgos[[#This Row],[Resto (AUX)]]="",Matriz_Riesgos[[#This Row],[Capacidad F (AUX)]]="",Matriz_Riesgos[[#This Row],[Inc_I (AUX)]]=""),"",MIN(Matriz_Riesgos[[#This Row],[Capacidad F (AUX)]], MAX(0,Matriz_Riesgos[[#This Row],[Resto (AUX)]]-Matriz_Riesgos[[#This Row],[Inc_I (AUX)]])))</f>
        <v>0</v>
      </c>
      <c r="BK36" s="112">
        <f>IFERROR(MAX(ROUND(Matriz_Riesgos[[#This Row],[Frecuencia Residual (AUX)]]+Matriz_Riesgos[[#This Row],[Impacto Residual (AUX)]]-1+Matriz_Riesgos[[#This Row],[Efectividad Total Ponderada de los Controles]],0),1),"")</f>
        <v>7</v>
      </c>
      <c r="BL36" s="112">
        <f>IFERROR(Matriz_Riesgos[[#This Row],[Valor del Riesgo Residual]]-Matriz_Riesgos[[#This Row],[Valor del Riesgo Residual (AUX)]],"")</f>
        <v>0</v>
      </c>
      <c r="BM36" s="112">
        <f>IFERROR(Matriz_Riesgos[[#This Row],[Frecuencia Residual]]+Matriz_Riesgos[[#This Row],[Impacto Residual]]-1,"")</f>
        <v>7</v>
      </c>
      <c r="BN36" s="112">
        <f>IFERROR(Matriz_Riesgos[[#This Row],[Valor del Riesgo Residual]]-Matriz_Riesgos[[#This Row],[VRR 2]],"")</f>
        <v>0</v>
      </c>
      <c r="BO36" s="112">
        <f>IFERROR(Matriz_Riesgos[[#This Row],[Frecuencia]]-Matriz_Riesgos[[#This Row],[Frecuencia Residual]],"")</f>
        <v>0</v>
      </c>
      <c r="BP36" s="112">
        <f>IFERROR(Matriz_Riesgos[[#This Row],[Impacto]]-Matriz_Riesgos[[#This Row],[Impacto Residual]],"")</f>
        <v>0</v>
      </c>
      <c r="BQ36" s="112">
        <f>IFERROR(Matriz_Riesgos[[#This Row],[Valor del Riesgo Inherente]]-Matriz_Riesgos[[#This Row],[Valor del Riesgo Residual]],"")</f>
        <v>0</v>
      </c>
      <c r="BR36" s="107" t="s">
        <v>473</v>
      </c>
      <c r="BS36" s="107"/>
      <c r="BT36" s="107"/>
      <c r="BU36" s="107"/>
      <c r="BV36" s="107"/>
      <c r="BW36" s="107"/>
      <c r="BX36" s="107"/>
      <c r="BY36" s="107"/>
      <c r="BZ36" s="107"/>
      <c r="CA36" s="107"/>
      <c r="CB36" s="107"/>
      <c r="CC36" s="107"/>
      <c r="CD36" s="107"/>
    </row>
    <row r="37" spans="1:75" s="113" customFormat="1" ht="357.75" customHeight="1">
      <c r="A37" s="101">
        <v>36</v>
      </c>
      <c r="B37" s="102" t="inlineStr">
        <is>
          <t>RCUMP-COMPRAS-36</t>
        </is>
      </c>
      <c r="C37" s="103" t="s">
        <v>331</v>
      </c>
      <c r="D37" s="104"/>
      <c r="E37" s="104" t="s">
        <v>391</v>
      </c>
      <c r="F37" s="103" t="s">
        <v>465</v>
      </c>
      <c r="G37" s="105"/>
      <c r="H37" s="103" t="s">
        <v>474</v>
      </c>
      <c r="I37" s="144" t="s">
        <v>475</v>
      </c>
      <c r="J37" s="104">
        <v>3</v>
      </c>
      <c r="K37" s="104">
        <v>4</v>
      </c>
      <c r="L37" s="102">
        <f>IF((Matriz_Riesgos[[#This Row],[Frecuencia]]+Matriz_Riesgos[[#This Row],[Impacto]]-1)=-1,"",Matriz_Riesgos[[#This Row],[Frecuencia]]+Matriz_Riesgos[[#This Row],[Impacto]]-1)</f>
        <v>6</v>
      </c>
      <c r="M37" s="102" t="str">
        <f>IFERROR(VLOOKUP(Matriz_Riesgos[[#This Row],[Valor del Riesgo Inherente]],t_nivel_riesgo[],2,FALSE), "")</f>
        <v>Riesgo Alto</v>
      </c>
      <c r="N37" s="103" t="s">
        <v>476</v>
      </c>
      <c r="O37" s="104" t="s">
        <v>190</v>
      </c>
      <c r="P37" s="103" t="s">
        <v>364</v>
      </c>
      <c r="Q37" s="106"/>
      <c r="R37" s="106"/>
      <c r="S37" s="106"/>
      <c r="T37" s="107" t="s">
        <v>477</v>
      </c>
      <c r="U37" s="108"/>
      <c r="V37" s="109"/>
      <c r="W37" s="110"/>
      <c r="X37" s="107" t="s">
        <v>478</v>
      </c>
      <c r="Y37" s="108"/>
      <c r="Z37" s="102"/>
      <c r="AA37" s="110"/>
      <c r="AB37" s="107" t="s">
        <v>479</v>
      </c>
      <c r="AC37" s="108"/>
      <c r="AD37" s="109"/>
      <c r="AE37" s="110"/>
      <c r="AF37" s="104"/>
      <c r="AG37" s="111">
        <f>IF(AND(T37="",X37="",AB37=""),"",('Otras Tablas'!$B$3*IF(W37="",0,W37)+'Otras Tablas'!$B$4*IF(AA37="",0,AA37)+'Otras Tablas'!$B$5*IF(AE37="",0,AE37)))</f>
      </c>
      <c r="AH37" s="102" t="str">
        <f>IF(Matriz_Riesgos[[#This Row],[Riesgo Inherente]]="","",Matriz_Riesgos[[#This Row],[Riesgo Inherente]])</f>
        <v>Inconsistencias documentales entre orden de compra, recepción, facturación y orden de pago que evidencian posibles alteraciones</v>
      </c>
      <c r="AI37"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37"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4</v>
      </c>
      <c r="AK37" s="102">
        <f>IFERROR(ROUND(MAX(1,Matriz_Riesgos[[#This Row],[Valor del Riesgo Inherente]]*(1 - Matriz_Riesgos[[#This Row],[Efectividad Total Ponderada de los Controles]])),0), "")</f>
        <v>6</v>
      </c>
      <c r="AL37" s="102" t="str">
        <f>IFERROR(VLOOKUP(Matriz_Riesgos[[#This Row],[Valor del Riesgo Residual]],t_nivel_riesgo[],2,FALSE),"")</f>
        <v>Riesgo Alto</v>
      </c>
      <c r="AM37" s="104" t="s">
        <v>197</v>
      </c>
      <c r="AN37" s="105" t="s">
        <v>480</v>
      </c>
      <c r="AO37" s="103"/>
      <c r="AP37" s="103"/>
      <c r="AQ37" s="103"/>
      <c r="AR37" s="103"/>
      <c r="AS37" s="103"/>
      <c r="AT37" s="103"/>
      <c r="AU37" s="103"/>
      <c r="AV37" s="103"/>
      <c r="AW37" s="103"/>
      <c r="AX37" s="112">
        <f>IFERROR((1-Matriz_Riesgos[[#This Row],[Efectividad Total Ponderada de los Controles]])*Matriz_Riesgos[[#This Row],[Frecuencia]],"")</f>
        <v>3</v>
      </c>
      <c r="AY37" s="112">
        <f>IFERROR((1-Matriz_Riesgos[[#This Row],[Efectividad Total Ponderada de los Controles]])*Matriz_Riesgos[[#This Row],[Impacto]],"")</f>
        <v>4</v>
      </c>
      <c r="AZ37" s="112">
        <f>IFERROR(Matriz_Riesgos[[#This Row],[Valor del Riesgo Residual]] + 1, "")</f>
        <v>7</v>
      </c>
      <c r="BA37" s="112">
        <f>IFERROR(MAX(1, ROUNDDOWN(Matriz_Riesgos[[#This Row],[Frecuencia Residual (AUX)]],0)),"")</f>
        <v>3</v>
      </c>
      <c r="BB37" s="112">
        <f>IFERROR(MAX(1, ROUNDDOWN(Matriz_Riesgos[[#This Row],[Impacto Residual (AUX)]],0)),"")</f>
        <v>4</v>
      </c>
      <c r="BC37" s="112">
        <f>IF(Matriz_Riesgos[[#This Row],[Frecuencia]]="","",Matriz_Riesgos[[#This Row],[Frecuencia]])</f>
        <v>3</v>
      </c>
      <c r="BD37" s="112">
        <f>IF(Matriz_Riesgos[[#This Row],[Impacto]]="","",Matriz_Riesgos[[#This Row],[Impacto]])</f>
        <v>4</v>
      </c>
      <c r="BE37" s="112">
        <f>IF(OR(Matriz_Riesgos[[#This Row],[Tope F (AUX)]]="",Matriz_Riesgos[[#This Row],[F_base (AUX)]]=""),"",MAX(0,Matriz_Riesgos[[#This Row],[Tope F (AUX)]]-Matriz_Riesgos[[#This Row],[F_base (AUX)]]))</f>
        <v>0</v>
      </c>
      <c r="BF37" s="112">
        <f>IF(OR(Matriz_Riesgos[[#This Row],[Tope I (AUX)]]="",Matriz_Riesgos[[#This Row],[I_base (AUX)]]=""),"",MAX(0,Matriz_Riesgos[[#This Row],[Tope I (AUX)]]-Matriz_Riesgos[[#This Row],[I_base (AUX)]]))</f>
        <v>0</v>
      </c>
      <c r="BG37" s="112">
        <f>IF(OR(Matriz_Riesgos[[#This Row],[Suma Residual redondeada (AUX)]]="",Matriz_Riesgos[[#This Row],[F_base (AUX)]]="",Matriz_Riesgos[[#This Row],[I_base (AUX)]]=""),"",MAX(0,Matriz_Riesgos[[#This Row],[Suma Residual redondeada (AUX)]]-(Matriz_Riesgos[[#This Row],[F_base (AUX)]]+Matriz_Riesgos[[#This Row],[I_base (AUX)]])))</f>
        <v>0</v>
      </c>
      <c r="BH37"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37"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37" s="112">
        <f>IF(OR(Matriz_Riesgos[[#This Row],[Resto (AUX)]]="",Matriz_Riesgos[[#This Row],[Capacidad F (AUX)]]="",Matriz_Riesgos[[#This Row],[Inc_I (AUX)]]=""),"",MIN(Matriz_Riesgos[[#This Row],[Capacidad F (AUX)]], MAX(0,Matriz_Riesgos[[#This Row],[Resto (AUX)]]-Matriz_Riesgos[[#This Row],[Inc_I (AUX)]])))</f>
        <v>0</v>
      </c>
      <c r="BK37" s="112">
        <f>IFERROR(MAX(ROUND(Matriz_Riesgos[[#This Row],[Frecuencia Residual (AUX)]]+Matriz_Riesgos[[#This Row],[Impacto Residual (AUX)]]-1+Matriz_Riesgos[[#This Row],[Efectividad Total Ponderada de los Controles]],0),1),"")</f>
        <v>6</v>
      </c>
      <c r="BL37" s="112">
        <f>IFERROR(Matriz_Riesgos[[#This Row],[Valor del Riesgo Residual]]-Matriz_Riesgos[[#This Row],[Valor del Riesgo Residual (AUX)]],"")</f>
        <v>0</v>
      </c>
      <c r="BM37" s="112">
        <f>IFERROR(Matriz_Riesgos[[#This Row],[Frecuencia Residual]]+Matriz_Riesgos[[#This Row],[Impacto Residual]]-1,"")</f>
        <v>6</v>
      </c>
      <c r="BN37" s="112">
        <f>IFERROR(Matriz_Riesgos[[#This Row],[Valor del Riesgo Residual]]-Matriz_Riesgos[[#This Row],[VRR 2]],"")</f>
        <v>0</v>
      </c>
      <c r="BO37" s="112">
        <f>IFERROR(Matriz_Riesgos[[#This Row],[Frecuencia]]-Matriz_Riesgos[[#This Row],[Frecuencia Residual]],"")</f>
        <v>0</v>
      </c>
      <c r="BP37" s="112">
        <f>IFERROR(Matriz_Riesgos[[#This Row],[Impacto]]-Matriz_Riesgos[[#This Row],[Impacto Residual]],"")</f>
        <v>0</v>
      </c>
      <c r="BQ37" s="112">
        <f>IFERROR(Matriz_Riesgos[[#This Row],[Valor del Riesgo Inherente]]-Matriz_Riesgos[[#This Row],[Valor del Riesgo Residual]],"")</f>
        <v>0</v>
      </c>
      <c r="BR37" s="107" t="s">
        <v>481</v>
      </c>
      <c r="BS37" s="107"/>
      <c r="BT37" s="107"/>
      <c r="BU37" s="107"/>
      <c r="BV37" s="107"/>
      <c r="BW37" s="107"/>
      <c r="BX37" s="107"/>
      <c r="BY37" s="107"/>
      <c r="BZ37" s="107"/>
      <c r="CA37" s="107"/>
      <c r="CB37" s="107"/>
      <c r="CC37" s="107"/>
      <c r="CD37" s="107"/>
    </row>
    <row r="38" spans="1:75" s="140" customFormat="1" ht="90" customHeight="1">
      <c r="A38" s="128">
        <v>37</v>
      </c>
      <c r="B38" s="129" t="inlineStr">
        <is>
          <t>RCUMP-COMPRAS-37</t>
        </is>
      </c>
      <c r="C38" s="130" t="s">
        <v>331</v>
      </c>
      <c r="D38" s="131"/>
      <c r="E38" s="131" t="s">
        <v>391</v>
      </c>
      <c r="F38" s="130" t="s">
        <v>482</v>
      </c>
      <c r="G38" s="132"/>
      <c r="H38" s="130" t="s">
        <v>483</v>
      </c>
      <c r="I38" s="146" t="s">
        <v>484</v>
      </c>
      <c r="J38" s="131">
        <v>2</v>
      </c>
      <c r="K38" s="131">
        <v>4</v>
      </c>
      <c r="L38" s="129">
        <f>IF((Matriz_Riesgos[[#This Row],[Frecuencia]]+Matriz_Riesgos[[#This Row],[Impacto]]-1)=-1,"",Matriz_Riesgos[[#This Row],[Frecuencia]]+Matriz_Riesgos[[#This Row],[Impacto]]-1)</f>
        <v>5</v>
      </c>
      <c r="M38" s="129" t="str">
        <f>IFERROR(VLOOKUP(Matriz_Riesgos[[#This Row],[Valor del Riesgo Inherente]],t_nivel_riesgo[],2,FALSE), "")</f>
        <v>Riesgo Medio</v>
      </c>
      <c r="N38" s="130" t="s">
        <v>331</v>
      </c>
      <c r="O38" s="131" t="s">
        <v>190</v>
      </c>
      <c r="P38" s="130" t="s">
        <v>364</v>
      </c>
      <c r="Q38" s="133"/>
      <c r="R38" s="133"/>
      <c r="S38" s="133"/>
      <c r="T38" s="134"/>
      <c r="U38" s="129"/>
      <c r="V38" s="129" t="str">
        <f>IFERROR(VLOOKUP(Matriz_Riesgos[[#This Row],[Escala de efectividad de control(es) preventivo(s)]],t_efectividad[],2,FALSE),"")</f>
        <v/>
      </c>
      <c r="W38" s="135" t="str">
        <f>IFERROR(VLOOKUP(Matriz_Riesgos[[#This Row],[Escala de efectividad de control(es) preventivo(s)]],t_efectividad[],3,FALSE),"")</f>
        <v/>
      </c>
      <c r="X38" s="130"/>
      <c r="Y38" s="129"/>
      <c r="Z38" s="129" t="str">
        <f>IFERROR(VLOOKUP(Matriz_Riesgos[[#This Row],[Escala de efectividad de control(es) detectivo(s)]],t_efectividad[],2,FALSE),"")</f>
        <v/>
      </c>
      <c r="AA38" s="135" t="str">
        <f>IFERROR(VLOOKUP(Matriz_Riesgos[[#This Row],[Escala de efectividad de control(es) detectivo(s)]],t_efectividad[],3,FALSE),"")</f>
        <v/>
      </c>
      <c r="AB38" s="130"/>
      <c r="AC38" s="129"/>
      <c r="AD38" s="129" t="str">
        <f>IFERROR(VLOOKUP(Matriz_Riesgos[[#This Row],[Escala de efectividad de control(es) correctivo(s)]],t_efectividad[],2,FALSE),"")</f>
        <v/>
      </c>
      <c r="AE38" s="135" t="str">
        <f>IFERROR(VLOOKUP(Matriz_Riesgos[[#This Row],[Escala de efectividad de control(es) correctivo(s)]],t_efectividad[],3,FALSE),"")</f>
        <v/>
      </c>
      <c r="AF38" s="136"/>
      <c r="AG38" s="137">
        <f>IF(AND(T38="",X38="",AB38=""),"",('Otras Tablas'!$B$3*IF(W38="",0,W38)+'Otras Tablas'!$B$4*IF(AA38="",0,AA38)+'Otras Tablas'!$B$5*IF(AE38="",0,AE38)))</f>
      </c>
      <c r="AH38" s="102" t="str">
        <f>IF(Matriz_Riesgos[[#This Row],[Riesgo Inherente]]="","",Matriz_Riesgos[[#This Row],[Riesgo Inherente]])</f>
        <v>Pagos anticipados</v>
      </c>
      <c r="AI38"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
      </c>
      <c r="AJ38"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
      </c>
      <c r="AK38" s="102" t="str">
        <f>IFERROR(ROUND(MAX(1,Matriz_Riesgos[[#This Row],[Valor del Riesgo Inherente]]*(1 - Matriz_Riesgos[[#This Row],[Efectividad Total Ponderada de los Controles]])),0), "")</f>
        <v/>
      </c>
      <c r="AL38" s="102" t="str">
        <f>IFERROR(VLOOKUP(Matriz_Riesgos[[#This Row],[Valor del Riesgo Residual]],t_nivel_riesgo[],2,FALSE),"")</f>
        <v/>
      </c>
      <c r="AM38" s="131"/>
      <c r="AN38" s="132"/>
      <c r="AO38" s="130"/>
      <c r="AP38" s="132"/>
      <c r="AQ38" s="130"/>
      <c r="AR38" s="130"/>
      <c r="AS38" s="130"/>
      <c r="AT38" s="138"/>
      <c r="AU38" s="138"/>
      <c r="AV38" s="130"/>
      <c r="AW38" s="130"/>
      <c r="AX38" s="139" t="str">
        <f>IFERROR((1-Matriz_Riesgos[[#This Row],[Efectividad Total Ponderada de los Controles]])*Matriz_Riesgos[[#This Row],[Frecuencia]],"")</f>
        <v/>
      </c>
      <c r="AY38" s="139" t="str">
        <f>IFERROR((1-Matriz_Riesgos[[#This Row],[Efectividad Total Ponderada de los Controles]])*Matriz_Riesgos[[#This Row],[Impacto]],"")</f>
        <v/>
      </c>
      <c r="AZ38" s="139" t="str">
        <f>IFERROR(Matriz_Riesgos[[#This Row],[Valor del Riesgo Residual]] + 1, "")</f>
        <v/>
      </c>
      <c r="BA38" s="139" t="str">
        <f>IFERROR(MAX(1, ROUNDDOWN(Matriz_Riesgos[[#This Row],[Frecuencia Residual (AUX)]],0)),"")</f>
        <v/>
      </c>
      <c r="BB38" s="139" t="str">
        <f>IFERROR(MAX(1, ROUNDDOWN(Matriz_Riesgos[[#This Row],[Impacto Residual (AUX)]],0)),"")</f>
        <v/>
      </c>
      <c r="BC38" s="139">
        <f>IF(Matriz_Riesgos[[#This Row],[Frecuencia]]="","",Matriz_Riesgos[[#This Row],[Frecuencia]])</f>
        <v>2</v>
      </c>
      <c r="BD38" s="139">
        <f>IF(Matriz_Riesgos[[#This Row],[Impacto]]="","",Matriz_Riesgos[[#This Row],[Impacto]])</f>
        <v>4</v>
      </c>
      <c r="BE38" s="139" t="str">
        <f>IF(OR(Matriz_Riesgos[[#This Row],[Tope F (AUX)]]="",Matriz_Riesgos[[#This Row],[F_base (AUX)]]=""),"",MAX(0,Matriz_Riesgos[[#This Row],[Tope F (AUX)]]-Matriz_Riesgos[[#This Row],[F_base (AUX)]]))</f>
        <v/>
      </c>
      <c r="BF38" s="139" t="str">
        <f>IF(OR(Matriz_Riesgos[[#This Row],[Tope I (AUX)]]="",Matriz_Riesgos[[#This Row],[I_base (AUX)]]=""),"",MAX(0,Matriz_Riesgos[[#This Row],[Tope I (AUX)]]-Matriz_Riesgos[[#This Row],[I_base (AUX)]]))</f>
        <v/>
      </c>
      <c r="BG38" s="139" t="str">
        <f>IF(OR(Matriz_Riesgos[[#This Row],[Suma Residual redondeada (AUX)]]="",Matriz_Riesgos[[#This Row],[F_base (AUX)]]="",Matriz_Riesgos[[#This Row],[I_base (AUX)]]=""),"",MAX(0,Matriz_Riesgos[[#This Row],[Suma Residual redondeada (AUX)]]-(Matriz_Riesgos[[#This Row],[F_base (AUX)]]+Matriz_Riesgos[[#This Row],[I_base (AUX)]])))</f>
        <v/>
      </c>
      <c r="BH38" s="139" t="str">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
      </c>
      <c r="BI38" s="139" t="str">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
      </c>
      <c r="BJ38" s="139" t="str">
        <f>IF(OR(Matriz_Riesgos[[#This Row],[Resto (AUX)]]="",Matriz_Riesgos[[#This Row],[Capacidad F (AUX)]]="",Matriz_Riesgos[[#This Row],[Inc_I (AUX)]]=""),"",MIN(Matriz_Riesgos[[#This Row],[Capacidad F (AUX)]], MAX(0,Matriz_Riesgos[[#This Row],[Resto (AUX)]]-Matriz_Riesgos[[#This Row],[Inc_I (AUX)]])))</f>
        <v/>
      </c>
      <c r="BK38" s="139" t="str">
        <f>IFERROR(MAX(ROUND(Matriz_Riesgos[[#This Row],[Frecuencia Residual (AUX)]]+Matriz_Riesgos[[#This Row],[Impacto Residual (AUX)]]-1+Matriz_Riesgos[[#This Row],[Efectividad Total Ponderada de los Controles]],0),1),"")</f>
        <v/>
      </c>
      <c r="BL38" s="139" t="str">
        <f>IFERROR(Matriz_Riesgos[[#This Row],[Valor del Riesgo Residual]]-Matriz_Riesgos[[#This Row],[Valor del Riesgo Residual (AUX)]],"")</f>
        <v/>
      </c>
      <c r="BM38" s="139" t="str">
        <f>IFERROR(Matriz_Riesgos[[#This Row],[Frecuencia Residual]]+Matriz_Riesgos[[#This Row],[Impacto Residual]]-1,"")</f>
        <v/>
      </c>
      <c r="BN38" s="139" t="str">
        <f>IFERROR(Matriz_Riesgos[[#This Row],[Valor del Riesgo Residual]]-Matriz_Riesgos[[#This Row],[VRR 2]],"")</f>
        <v/>
      </c>
      <c r="BO38" s="139" t="str">
        <f>IFERROR(Matriz_Riesgos[[#This Row],[Frecuencia]]-Matriz_Riesgos[[#This Row],[Frecuencia Residual]],"")</f>
        <v/>
      </c>
      <c r="BP38" s="139" t="str">
        <f>IFERROR(Matriz_Riesgos[[#This Row],[Impacto]]-Matriz_Riesgos[[#This Row],[Impacto Residual]],"")</f>
        <v/>
      </c>
      <c r="BQ38" s="139" t="str">
        <f>IFERROR(Matriz_Riesgos[[#This Row],[Valor del Riesgo Inherente]]-Matriz_Riesgos[[#This Row],[Valor del Riesgo Residual]],"")</f>
        <v/>
      </c>
      <c r="BR38" s="130"/>
      <c r="BS38" s="130"/>
      <c r="BT38" s="130"/>
      <c r="BU38" s="130"/>
      <c r="BV38" s="130"/>
      <c r="BW38" s="130"/>
      <c r="BX38" s="130"/>
      <c r="BY38" s="130"/>
      <c r="BZ38" s="130"/>
      <c r="CA38" s="130"/>
      <c r="CB38" s="130"/>
      <c r="CC38" s="130"/>
      <c r="CD38" s="130"/>
    </row>
    <row r="39" spans="1:75" s="140" customFormat="1" ht="89.25" customHeight="1">
      <c r="A39" s="128">
        <v>38</v>
      </c>
      <c r="B39" s="129" t="inlineStr">
        <is>
          <t>RCUMP-COMPRAS-38</t>
        </is>
      </c>
      <c r="C39" s="130" t="s">
        <v>331</v>
      </c>
      <c r="D39" s="131"/>
      <c r="E39" s="131" t="s">
        <v>391</v>
      </c>
      <c r="F39" s="130" t="s">
        <v>485</v>
      </c>
      <c r="G39" s="132"/>
      <c r="H39" s="130" t="s">
        <v>486</v>
      </c>
      <c r="I39" s="146" t="s">
        <v>487</v>
      </c>
      <c r="J39" s="131">
        <v>2</v>
      </c>
      <c r="K39" s="131">
        <v>5</v>
      </c>
      <c r="L39" s="129">
        <f>IF((Matriz_Riesgos[[#This Row],[Frecuencia]]+Matriz_Riesgos[[#This Row],[Impacto]]-1)=-1,"",Matriz_Riesgos[[#This Row],[Frecuencia]]+Matriz_Riesgos[[#This Row],[Impacto]]-1)</f>
        <v>6</v>
      </c>
      <c r="M39" s="129" t="str">
        <f>IFERROR(VLOOKUP(Matriz_Riesgos[[#This Row],[Valor del Riesgo Inherente]],t_nivel_riesgo[],2,FALSE), "")</f>
        <v>Riesgo Alto</v>
      </c>
      <c r="N39" s="130" t="s">
        <v>331</v>
      </c>
      <c r="O39" s="131" t="s">
        <v>190</v>
      </c>
      <c r="P39" s="130" t="s">
        <v>364</v>
      </c>
      <c r="Q39" s="133"/>
      <c r="R39" s="133"/>
      <c r="S39" s="133"/>
      <c r="T39" s="134"/>
      <c r="U39" s="141"/>
      <c r="V39" s="142"/>
      <c r="W39" s="143"/>
      <c r="X39" s="130"/>
      <c r="Y39" s="141"/>
      <c r="Z39" s="129"/>
      <c r="AA39" s="143"/>
      <c r="AB39" s="130"/>
      <c r="AC39" s="141"/>
      <c r="AD39" s="142"/>
      <c r="AE39" s="143"/>
      <c r="AF39" s="131"/>
      <c r="AG39" s="137">
        <f>IF(AND(T39="",X39="",AB39=""),"",('Otras Tablas'!$B$3*IF(W39="",0,W39)+'Otras Tablas'!$B$4*IF(AA39="",0,AA39)+'Otras Tablas'!$B$5*IF(AE39="",0,AE39)))</f>
      </c>
      <c r="AH39" s="102" t="str">
        <f>IF(Matriz_Riesgos[[#This Row],[Riesgo Inherente]]="","",Matriz_Riesgos[[#This Row],[Riesgo Inherente]])</f>
        <v>Ausencia de respaldos que evidencien una supervisión efectiva y en norma respecto de la ejecución del contrato.</v>
      </c>
      <c r="AI39"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2</v>
      </c>
      <c r="AJ39"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39" s="102">
        <f>IFERROR(ROUND(MAX(1,Matriz_Riesgos[[#This Row],[Valor del Riesgo Inherente]]*(1 - Matriz_Riesgos[[#This Row],[Efectividad Total Ponderada de los Controles]])),0), "")</f>
        <v>6</v>
      </c>
      <c r="AL39" s="102" t="str">
        <f>IFERROR(VLOOKUP(Matriz_Riesgos[[#This Row],[Valor del Riesgo Residual]],t_nivel_riesgo[],2,FALSE),"")</f>
        <v>Riesgo Alto</v>
      </c>
      <c r="AM39" s="131" t="s">
        <v>197</v>
      </c>
      <c r="AN39" s="132"/>
      <c r="AO39" s="130"/>
      <c r="AP39" s="130"/>
      <c r="AQ39" s="130"/>
      <c r="AR39" s="130"/>
      <c r="AS39" s="130"/>
      <c r="AT39" s="130"/>
      <c r="AU39" s="130"/>
      <c r="AV39" s="130"/>
      <c r="AW39" s="130"/>
      <c r="AX39" s="139">
        <f>IFERROR((1-Matriz_Riesgos[[#This Row],[Efectividad Total Ponderada de los Controles]])*Matriz_Riesgos[[#This Row],[Frecuencia]],"")</f>
        <v>2</v>
      </c>
      <c r="AY39" s="139">
        <f>IFERROR((1-Matriz_Riesgos[[#This Row],[Efectividad Total Ponderada de los Controles]])*Matriz_Riesgos[[#This Row],[Impacto]],"")</f>
        <v>5</v>
      </c>
      <c r="AZ39" s="139">
        <f>IFERROR(Matriz_Riesgos[[#This Row],[Valor del Riesgo Residual]] + 1, "")</f>
        <v>7</v>
      </c>
      <c r="BA39" s="139">
        <f>IFERROR(MAX(1, ROUNDDOWN(Matriz_Riesgos[[#This Row],[Frecuencia Residual (AUX)]],0)),"")</f>
        <v>2</v>
      </c>
      <c r="BB39" s="139">
        <f>IFERROR(MAX(1, ROUNDDOWN(Matriz_Riesgos[[#This Row],[Impacto Residual (AUX)]],0)),"")</f>
        <v>5</v>
      </c>
      <c r="BC39" s="139">
        <f>IF(Matriz_Riesgos[[#This Row],[Frecuencia]]="","",Matriz_Riesgos[[#This Row],[Frecuencia]])</f>
        <v>2</v>
      </c>
      <c r="BD39" s="139">
        <f>IF(Matriz_Riesgos[[#This Row],[Impacto]]="","",Matriz_Riesgos[[#This Row],[Impacto]])</f>
        <v>5</v>
      </c>
      <c r="BE39" s="139">
        <f>IF(OR(Matriz_Riesgos[[#This Row],[Tope F (AUX)]]="",Matriz_Riesgos[[#This Row],[F_base (AUX)]]=""),"",MAX(0,Matriz_Riesgos[[#This Row],[Tope F (AUX)]]-Matriz_Riesgos[[#This Row],[F_base (AUX)]]))</f>
        <v>0</v>
      </c>
      <c r="BF39" s="139">
        <f>IF(OR(Matriz_Riesgos[[#This Row],[Tope I (AUX)]]="",Matriz_Riesgos[[#This Row],[I_base (AUX)]]=""),"",MAX(0,Matriz_Riesgos[[#This Row],[Tope I (AUX)]]-Matriz_Riesgos[[#This Row],[I_base (AUX)]]))</f>
        <v>0</v>
      </c>
      <c r="BG39" s="139">
        <f>IF(OR(Matriz_Riesgos[[#This Row],[Suma Residual redondeada (AUX)]]="",Matriz_Riesgos[[#This Row],[F_base (AUX)]]="",Matriz_Riesgos[[#This Row],[I_base (AUX)]]=""),"",MAX(0,Matriz_Riesgos[[#This Row],[Suma Residual redondeada (AUX)]]-(Matriz_Riesgos[[#This Row],[F_base (AUX)]]+Matriz_Riesgos[[#This Row],[I_base (AUX)]])))</f>
        <v>0</v>
      </c>
      <c r="BH39" s="139">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39" s="139">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39" s="139">
        <f>IF(OR(Matriz_Riesgos[[#This Row],[Resto (AUX)]]="",Matriz_Riesgos[[#This Row],[Capacidad F (AUX)]]="",Matriz_Riesgos[[#This Row],[Inc_I (AUX)]]=""),"",MIN(Matriz_Riesgos[[#This Row],[Capacidad F (AUX)]], MAX(0,Matriz_Riesgos[[#This Row],[Resto (AUX)]]-Matriz_Riesgos[[#This Row],[Inc_I (AUX)]])))</f>
        <v>0</v>
      </c>
      <c r="BK39" s="139">
        <f>IFERROR(MAX(ROUND(Matriz_Riesgos[[#This Row],[Frecuencia Residual (AUX)]]+Matriz_Riesgos[[#This Row],[Impacto Residual (AUX)]]-1+Matriz_Riesgos[[#This Row],[Efectividad Total Ponderada de los Controles]],0),1),"")</f>
        <v>6</v>
      </c>
      <c r="BL39" s="139">
        <f>IFERROR(Matriz_Riesgos[[#This Row],[Valor del Riesgo Residual]]-Matriz_Riesgos[[#This Row],[Valor del Riesgo Residual (AUX)]],"")</f>
        <v>0</v>
      </c>
      <c r="BM39" s="139">
        <f>IFERROR(Matriz_Riesgos[[#This Row],[Frecuencia Residual]]+Matriz_Riesgos[[#This Row],[Impacto Residual]]-1,"")</f>
        <v>6</v>
      </c>
      <c r="BN39" s="139">
        <f>IFERROR(Matriz_Riesgos[[#This Row],[Valor del Riesgo Residual]]-Matriz_Riesgos[[#This Row],[VRR 2]],"")</f>
        <v>0</v>
      </c>
      <c r="BO39" s="139">
        <f>IFERROR(Matriz_Riesgos[[#This Row],[Frecuencia]]-Matriz_Riesgos[[#This Row],[Frecuencia Residual]],"")</f>
        <v>0</v>
      </c>
      <c r="BP39" s="139">
        <f>IFERROR(Matriz_Riesgos[[#This Row],[Impacto]]-Matriz_Riesgos[[#This Row],[Impacto Residual]],"")</f>
        <v>0</v>
      </c>
      <c r="BQ39" s="139">
        <f>IFERROR(Matriz_Riesgos[[#This Row],[Valor del Riesgo Inherente]]-Matriz_Riesgos[[#This Row],[Valor del Riesgo Residual]],"")</f>
        <v>0</v>
      </c>
      <c r="BR39" s="130"/>
      <c r="BS39" s="130"/>
      <c r="BT39" s="130"/>
      <c r="BU39" s="130"/>
      <c r="BV39" s="130"/>
      <c r="BW39" s="130"/>
      <c r="BX39" s="130"/>
      <c r="BY39" s="130"/>
      <c r="BZ39" s="130"/>
      <c r="CA39" s="130"/>
      <c r="CB39" s="130"/>
      <c r="CC39" s="130"/>
      <c r="CD39" s="130"/>
    </row>
    <row r="40" spans="1:75" s="113" customFormat="1" ht="346.5" customHeight="1">
      <c r="A40" s="101">
        <v>39</v>
      </c>
      <c r="B40" s="102" t="inlineStr">
        <is>
          <t>RCUMP-COMPRASGTIC-39</t>
        </is>
      </c>
      <c r="C40" s="103" t="s">
        <v>451</v>
      </c>
      <c r="D40" s="104"/>
      <c r="E40" s="104" t="s">
        <v>391</v>
      </c>
      <c r="F40" s="103" t="s">
        <v>485</v>
      </c>
      <c r="G40" s="105"/>
      <c r="H40" s="103" t="s">
        <v>488</v>
      </c>
      <c r="I40" s="144" t="s">
        <v>489</v>
      </c>
      <c r="J40" s="104">
        <v>3</v>
      </c>
      <c r="K40" s="104">
        <v>4</v>
      </c>
      <c r="L40" s="102">
        <f>IF((Matriz_Riesgos[[#This Row],[Frecuencia]]+Matriz_Riesgos[[#This Row],[Impacto]]-1)=-1,"",Matriz_Riesgos[[#This Row],[Frecuencia]]+Matriz_Riesgos[[#This Row],[Impacto]]-1)</f>
        <v>6</v>
      </c>
      <c r="M40" s="102" t="str">
        <f>IFERROR(VLOOKUP(Matriz_Riesgos[[#This Row],[Valor del Riesgo Inherente]],t_nivel_riesgo[],2,FALSE), "")</f>
        <v>Riesgo Alto</v>
      </c>
      <c r="N40" s="103" t="s">
        <v>490</v>
      </c>
      <c r="O40" s="104" t="s">
        <v>190</v>
      </c>
      <c r="P40" s="103" t="s">
        <v>364</v>
      </c>
      <c r="Q40" s="106"/>
      <c r="R40" s="106"/>
      <c r="S40" s="106"/>
      <c r="T40" s="107" t="s">
        <v>491</v>
      </c>
      <c r="U40" s="108"/>
      <c r="V40" s="109"/>
      <c r="W40" s="110"/>
      <c r="X40" s="107" t="s">
        <v>492</v>
      </c>
      <c r="Y40" s="108"/>
      <c r="Z40" s="102"/>
      <c r="AA40" s="110"/>
      <c r="AB40" s="107" t="s">
        <v>493</v>
      </c>
      <c r="AC40" s="108"/>
      <c r="AD40" s="109"/>
      <c r="AE40" s="110"/>
      <c r="AF40" s="104"/>
      <c r="AG40" s="111">
        <f>IF(AND(T40="",X40="",AB40=""),"",('Otras Tablas'!$B$3*IF(W40="",0,W40)+'Otras Tablas'!$B$4*IF(AA40="",0,AA40)+'Otras Tablas'!$B$5*IF(AE40="",0,AE40)))</f>
      </c>
      <c r="AH40" s="102" t="str">
        <f>IF(Matriz_Riesgos[[#This Row],[Riesgo Inherente]]="","",Matriz_Riesgos[[#This Row],[Riesgo Inherente]])</f>
        <v>Debilidad en los sistemas de información que impide la trazabilidad de los procesos de contratación y ejecución contractual</v>
      </c>
      <c r="AI40"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40"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4</v>
      </c>
      <c r="AK40" s="102">
        <f>IFERROR(ROUND(MAX(1,Matriz_Riesgos[[#This Row],[Valor del Riesgo Inherente]]*(1 - Matriz_Riesgos[[#This Row],[Efectividad Total Ponderada de los Controles]])),0), "")</f>
        <v>6</v>
      </c>
      <c r="AL40" s="102" t="str">
        <f>IFERROR(VLOOKUP(Matriz_Riesgos[[#This Row],[Valor del Riesgo Residual]],t_nivel_riesgo[],2,FALSE),"")</f>
        <v>Riesgo Alto</v>
      </c>
      <c r="AM40" s="104" t="s">
        <v>197</v>
      </c>
      <c r="AN40" s="105" t="s">
        <v>494</v>
      </c>
      <c r="AO40" s="103"/>
      <c r="AP40" s="103"/>
      <c r="AQ40" s="103"/>
      <c r="AR40" s="103"/>
      <c r="AS40" s="103"/>
      <c r="AT40" s="103"/>
      <c r="AU40" s="103"/>
      <c r="AV40" s="103"/>
      <c r="AW40" s="103"/>
      <c r="AX40" s="112">
        <f>IFERROR((1-Matriz_Riesgos[[#This Row],[Efectividad Total Ponderada de los Controles]])*Matriz_Riesgos[[#This Row],[Frecuencia]],"")</f>
        <v>3</v>
      </c>
      <c r="AY40" s="112">
        <f>IFERROR((1-Matriz_Riesgos[[#This Row],[Efectividad Total Ponderada de los Controles]])*Matriz_Riesgos[[#This Row],[Impacto]],"")</f>
        <v>4</v>
      </c>
      <c r="AZ40" s="112">
        <f>IFERROR(Matriz_Riesgos[[#This Row],[Valor del Riesgo Residual]] + 1, "")</f>
        <v>7</v>
      </c>
      <c r="BA40" s="112">
        <f>IFERROR(MAX(1, ROUNDDOWN(Matriz_Riesgos[[#This Row],[Frecuencia Residual (AUX)]],0)),"")</f>
        <v>3</v>
      </c>
      <c r="BB40" s="112">
        <f>IFERROR(MAX(1, ROUNDDOWN(Matriz_Riesgos[[#This Row],[Impacto Residual (AUX)]],0)),"")</f>
        <v>4</v>
      </c>
      <c r="BC40" s="112">
        <f>IF(Matriz_Riesgos[[#This Row],[Frecuencia]]="","",Matriz_Riesgos[[#This Row],[Frecuencia]])</f>
        <v>3</v>
      </c>
      <c r="BD40" s="112">
        <f>IF(Matriz_Riesgos[[#This Row],[Impacto]]="","",Matriz_Riesgos[[#This Row],[Impacto]])</f>
        <v>4</v>
      </c>
      <c r="BE40" s="112">
        <f>IF(OR(Matriz_Riesgos[[#This Row],[Tope F (AUX)]]="",Matriz_Riesgos[[#This Row],[F_base (AUX)]]=""),"",MAX(0,Matriz_Riesgos[[#This Row],[Tope F (AUX)]]-Matriz_Riesgos[[#This Row],[F_base (AUX)]]))</f>
        <v>0</v>
      </c>
      <c r="BF40" s="112">
        <f>IF(OR(Matriz_Riesgos[[#This Row],[Tope I (AUX)]]="",Matriz_Riesgos[[#This Row],[I_base (AUX)]]=""),"",MAX(0,Matriz_Riesgos[[#This Row],[Tope I (AUX)]]-Matriz_Riesgos[[#This Row],[I_base (AUX)]]))</f>
        <v>0</v>
      </c>
      <c r="BG40" s="112">
        <f>IF(OR(Matriz_Riesgos[[#This Row],[Suma Residual redondeada (AUX)]]="",Matriz_Riesgos[[#This Row],[F_base (AUX)]]="",Matriz_Riesgos[[#This Row],[I_base (AUX)]]=""),"",MAX(0,Matriz_Riesgos[[#This Row],[Suma Residual redondeada (AUX)]]-(Matriz_Riesgos[[#This Row],[F_base (AUX)]]+Matriz_Riesgos[[#This Row],[I_base (AUX)]])))</f>
        <v>0</v>
      </c>
      <c r="BH40"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40"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40" s="112">
        <f>IF(OR(Matriz_Riesgos[[#This Row],[Resto (AUX)]]="",Matriz_Riesgos[[#This Row],[Capacidad F (AUX)]]="",Matriz_Riesgos[[#This Row],[Inc_I (AUX)]]=""),"",MIN(Matriz_Riesgos[[#This Row],[Capacidad F (AUX)]], MAX(0,Matriz_Riesgos[[#This Row],[Resto (AUX)]]-Matriz_Riesgos[[#This Row],[Inc_I (AUX)]])))</f>
        <v>0</v>
      </c>
      <c r="BK40" s="112">
        <f>IFERROR(MAX(ROUND(Matriz_Riesgos[[#This Row],[Frecuencia Residual (AUX)]]+Matriz_Riesgos[[#This Row],[Impacto Residual (AUX)]]-1+Matriz_Riesgos[[#This Row],[Efectividad Total Ponderada de los Controles]],0),1),"")</f>
        <v>6</v>
      </c>
      <c r="BL40" s="112">
        <f>IFERROR(Matriz_Riesgos[[#This Row],[Valor del Riesgo Residual]]-Matriz_Riesgos[[#This Row],[Valor del Riesgo Residual (AUX)]],"")</f>
        <v>0</v>
      </c>
      <c r="BM40" s="112">
        <f>IFERROR(Matriz_Riesgos[[#This Row],[Frecuencia Residual]]+Matriz_Riesgos[[#This Row],[Impacto Residual]]-1,"")</f>
        <v>6</v>
      </c>
      <c r="BN40" s="112">
        <f>IFERROR(Matriz_Riesgos[[#This Row],[Valor del Riesgo Residual]]-Matriz_Riesgos[[#This Row],[VRR 2]],"")</f>
        <v>0</v>
      </c>
      <c r="BO40" s="112">
        <f>IFERROR(Matriz_Riesgos[[#This Row],[Frecuencia]]-Matriz_Riesgos[[#This Row],[Frecuencia Residual]],"")</f>
        <v>0</v>
      </c>
      <c r="BP40" s="112">
        <f>IFERROR(Matriz_Riesgos[[#This Row],[Impacto]]-Matriz_Riesgos[[#This Row],[Impacto Residual]],"")</f>
        <v>0</v>
      </c>
      <c r="BQ40" s="112">
        <f>IFERROR(Matriz_Riesgos[[#This Row],[Valor del Riesgo Inherente]]-Matriz_Riesgos[[#This Row],[Valor del Riesgo Residual]],"")</f>
        <v>0</v>
      </c>
      <c r="BR40" s="107" t="s">
        <v>495</v>
      </c>
      <c r="BS40" s="107"/>
      <c r="BT40" s="107"/>
      <c r="BU40" s="107"/>
      <c r="BV40" s="107"/>
      <c r="BW40" s="107"/>
      <c r="BX40" s="107"/>
      <c r="BY40" s="107"/>
      <c r="BZ40" s="107"/>
      <c r="CA40" s="107"/>
      <c r="CB40" s="107"/>
      <c r="CC40" s="107"/>
      <c r="CD40" s="107"/>
    </row>
    <row r="41" spans="1:75" s="113" customFormat="1" ht="348.75" customHeight="1">
      <c r="A41" s="101">
        <v>40</v>
      </c>
      <c r="B41" s="102" t="inlineStr">
        <is>
          <t>RCUMP-COMPRAS-40</t>
        </is>
      </c>
      <c r="C41" s="103" t="s">
        <v>331</v>
      </c>
      <c r="D41" s="104"/>
      <c r="E41" s="104" t="s">
        <v>391</v>
      </c>
      <c r="F41" s="103" t="s">
        <v>485</v>
      </c>
      <c r="G41" s="105"/>
      <c r="H41" s="103" t="s">
        <v>496</v>
      </c>
      <c r="I41" s="144" t="s">
        <v>497</v>
      </c>
      <c r="J41" s="104">
        <v>2</v>
      </c>
      <c r="K41" s="104">
        <v>5</v>
      </c>
      <c r="L41" s="102">
        <f>IF((Matriz_Riesgos[[#This Row],[Frecuencia]]+Matriz_Riesgos[[#This Row],[Impacto]]-1)=-1,"",Matriz_Riesgos[[#This Row],[Frecuencia]]+Matriz_Riesgos[[#This Row],[Impacto]]-1)</f>
        <v>6</v>
      </c>
      <c r="M41" s="102" t="str">
        <f>IFERROR(VLOOKUP(Matriz_Riesgos[[#This Row],[Valor del Riesgo Inherente]],t_nivel_riesgo[],2,FALSE), "")</f>
        <v>Riesgo Alto</v>
      </c>
      <c r="N41" s="103" t="s">
        <v>498</v>
      </c>
      <c r="O41" s="104" t="s">
        <v>190</v>
      </c>
      <c r="P41" s="103" t="s">
        <v>499</v>
      </c>
      <c r="Q41" s="106"/>
      <c r="R41" s="106"/>
      <c r="S41" s="106"/>
      <c r="T41" s="107" t="s">
        <v>500</v>
      </c>
      <c r="U41" s="108"/>
      <c r="V41" s="109"/>
      <c r="W41" s="110"/>
      <c r="X41" s="107" t="s">
        <v>501</v>
      </c>
      <c r="Y41" s="108"/>
      <c r="Z41" s="102"/>
      <c r="AA41" s="110"/>
      <c r="AB41" s="103" t="s">
        <v>502</v>
      </c>
      <c r="AC41" s="108"/>
      <c r="AD41" s="109"/>
      <c r="AE41" s="110"/>
      <c r="AF41" s="104"/>
      <c r="AG41" s="111">
        <f>IF(AND(T41="",X41="",AB41=""),"",('Otras Tablas'!$B$3*IF(W41="",0,W41)+'Otras Tablas'!$B$4*IF(AA41="",0,AA41)+'Otras Tablas'!$B$5*IF(AE41="",0,AE41)))</f>
      </c>
      <c r="AH41" s="102" t="str">
        <f>IF(Matriz_Riesgos[[#This Row],[Riesgo Inherente]]="","",Matriz_Riesgos[[#This Row],[Riesgo Inherente]])</f>
        <v>Manipulación de procesos de contratación mediante términos de referencia ambiguos y modificaciones injustificadas que restringen la libre concurrencia de oferentes</v>
      </c>
      <c r="AI41"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2</v>
      </c>
      <c r="AJ41"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41" s="102">
        <f>IFERROR(ROUND(MAX(1,Matriz_Riesgos[[#This Row],[Valor del Riesgo Inherente]]*(1 - Matriz_Riesgos[[#This Row],[Efectividad Total Ponderada de los Controles]])),0), "")</f>
        <v>6</v>
      </c>
      <c r="AL41" s="102" t="str">
        <f>IFERROR(VLOOKUP(Matriz_Riesgos[[#This Row],[Valor del Riesgo Residual]],t_nivel_riesgo[],2,FALSE),"")</f>
        <v>Riesgo Alto</v>
      </c>
      <c r="AM41" s="104" t="s">
        <v>197</v>
      </c>
      <c r="AN41" s="105" t="s">
        <v>503</v>
      </c>
      <c r="AO41" s="103"/>
      <c r="AP41" s="103"/>
      <c r="AQ41" s="103"/>
      <c r="AR41" s="103"/>
      <c r="AS41" s="103"/>
      <c r="AT41" s="103"/>
      <c r="AU41" s="103"/>
      <c r="AV41" s="103"/>
      <c r="AW41" s="103"/>
      <c r="AX41" s="112">
        <f>IFERROR((1-Matriz_Riesgos[[#This Row],[Efectividad Total Ponderada de los Controles]])*Matriz_Riesgos[[#This Row],[Frecuencia]],"")</f>
        <v>2</v>
      </c>
      <c r="AY41" s="112">
        <f>IFERROR((1-Matriz_Riesgos[[#This Row],[Efectividad Total Ponderada de los Controles]])*Matriz_Riesgos[[#This Row],[Impacto]],"")</f>
        <v>5</v>
      </c>
      <c r="AZ41" s="112">
        <f>IFERROR(Matriz_Riesgos[[#This Row],[Valor del Riesgo Residual]] + 1, "")</f>
        <v>7</v>
      </c>
      <c r="BA41" s="112">
        <f>IFERROR(MAX(1, ROUNDDOWN(Matriz_Riesgos[[#This Row],[Frecuencia Residual (AUX)]],0)),"")</f>
        <v>2</v>
      </c>
      <c r="BB41" s="112">
        <f>IFERROR(MAX(1, ROUNDDOWN(Matriz_Riesgos[[#This Row],[Impacto Residual (AUX)]],0)),"")</f>
        <v>5</v>
      </c>
      <c r="BC41" s="112">
        <f>IF(Matriz_Riesgos[[#This Row],[Frecuencia]]="","",Matriz_Riesgos[[#This Row],[Frecuencia]])</f>
        <v>2</v>
      </c>
      <c r="BD41" s="112">
        <f>IF(Matriz_Riesgos[[#This Row],[Impacto]]="","",Matriz_Riesgos[[#This Row],[Impacto]])</f>
        <v>5</v>
      </c>
      <c r="BE41" s="112">
        <f>IF(OR(Matriz_Riesgos[[#This Row],[Tope F (AUX)]]="",Matriz_Riesgos[[#This Row],[F_base (AUX)]]=""),"",MAX(0,Matriz_Riesgos[[#This Row],[Tope F (AUX)]]-Matriz_Riesgos[[#This Row],[F_base (AUX)]]))</f>
        <v>0</v>
      </c>
      <c r="BF41" s="112">
        <f>IF(OR(Matriz_Riesgos[[#This Row],[Tope I (AUX)]]="",Matriz_Riesgos[[#This Row],[I_base (AUX)]]=""),"",MAX(0,Matriz_Riesgos[[#This Row],[Tope I (AUX)]]-Matriz_Riesgos[[#This Row],[I_base (AUX)]]))</f>
        <v>0</v>
      </c>
      <c r="BG41" s="112">
        <f>IF(OR(Matriz_Riesgos[[#This Row],[Suma Residual redondeada (AUX)]]="",Matriz_Riesgos[[#This Row],[F_base (AUX)]]="",Matriz_Riesgos[[#This Row],[I_base (AUX)]]=""),"",MAX(0,Matriz_Riesgos[[#This Row],[Suma Residual redondeada (AUX)]]-(Matriz_Riesgos[[#This Row],[F_base (AUX)]]+Matriz_Riesgos[[#This Row],[I_base (AUX)]])))</f>
        <v>0</v>
      </c>
      <c r="BH41"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41"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41" s="112">
        <f>IF(OR(Matriz_Riesgos[[#This Row],[Resto (AUX)]]="",Matriz_Riesgos[[#This Row],[Capacidad F (AUX)]]="",Matriz_Riesgos[[#This Row],[Inc_I (AUX)]]=""),"",MIN(Matriz_Riesgos[[#This Row],[Capacidad F (AUX)]], MAX(0,Matriz_Riesgos[[#This Row],[Resto (AUX)]]-Matriz_Riesgos[[#This Row],[Inc_I (AUX)]])))</f>
        <v>0</v>
      </c>
      <c r="BK41" s="112">
        <f>IFERROR(MAX(ROUND(Matriz_Riesgos[[#This Row],[Frecuencia Residual (AUX)]]+Matriz_Riesgos[[#This Row],[Impacto Residual (AUX)]]-1+Matriz_Riesgos[[#This Row],[Efectividad Total Ponderada de los Controles]],0),1),"")</f>
        <v>6</v>
      </c>
      <c r="BL41" s="112">
        <f>IFERROR(Matriz_Riesgos[[#This Row],[Valor del Riesgo Residual]]-Matriz_Riesgos[[#This Row],[Valor del Riesgo Residual (AUX)]],"")</f>
        <v>0</v>
      </c>
      <c r="BM41" s="112">
        <f>IFERROR(Matriz_Riesgos[[#This Row],[Frecuencia Residual]]+Matriz_Riesgos[[#This Row],[Impacto Residual]]-1,"")</f>
        <v>6</v>
      </c>
      <c r="BN41" s="112">
        <f>IFERROR(Matriz_Riesgos[[#This Row],[Valor del Riesgo Residual]]-Matriz_Riesgos[[#This Row],[VRR 2]],"")</f>
        <v>0</v>
      </c>
      <c r="BO41" s="112">
        <f>IFERROR(Matriz_Riesgos[[#This Row],[Frecuencia]]-Matriz_Riesgos[[#This Row],[Frecuencia Residual]],"")</f>
        <v>0</v>
      </c>
      <c r="BP41" s="112">
        <f>IFERROR(Matriz_Riesgos[[#This Row],[Impacto]]-Matriz_Riesgos[[#This Row],[Impacto Residual]],"")</f>
        <v>0</v>
      </c>
      <c r="BQ41" s="112">
        <f>IFERROR(Matriz_Riesgos[[#This Row],[Valor del Riesgo Inherente]]-Matriz_Riesgos[[#This Row],[Valor del Riesgo Residual]],"")</f>
        <v>0</v>
      </c>
      <c r="BR41" s="107" t="s">
        <v>504</v>
      </c>
      <c r="BS41" s="107"/>
      <c r="BT41" s="107"/>
      <c r="BU41" s="107"/>
      <c r="BV41" s="107"/>
      <c r="BW41" s="107"/>
      <c r="BX41" s="107"/>
      <c r="BY41" s="107"/>
      <c r="BZ41" s="107"/>
      <c r="CA41" s="107"/>
      <c r="CB41" s="107"/>
      <c r="CC41" s="107"/>
      <c r="CD41" s="107"/>
    </row>
    <row r="42" spans="1:75" ht="166.5" customHeight="1">
      <c r="A42" s="100">
        <v>41</v>
      </c>
      <c r="B42" s="37" t="inlineStr">
        <is>
          <t>RCUMP-COMPRAS-41</t>
        </is>
      </c>
      <c r="C42" s="4" t="s">
        <v>331</v>
      </c>
      <c r="D42" s="25"/>
      <c r="E42" s="36" t="s">
        <v>391</v>
      </c>
      <c r="F42" s="4" t="s">
        <v>485</v>
      </c>
      <c r="G42" s="6"/>
      <c r="H42" s="4" t="s">
        <v>505</v>
      </c>
      <c r="I42" s="145" t="s">
        <v>506</v>
      </c>
      <c r="J42" s="25">
        <v>2</v>
      </c>
      <c r="K42" s="25">
        <v>4</v>
      </c>
      <c r="L42" s="37">
        <f>IF((Matriz_Riesgos[[#This Row],[Frecuencia]]+Matriz_Riesgos[[#This Row],[Impacto]]-1)=-1,"",Matriz_Riesgos[[#This Row],[Frecuencia]]+Matriz_Riesgos[[#This Row],[Impacto]]-1)</f>
        <v>5</v>
      </c>
      <c r="M42" s="37" t="str">
        <f>IFERROR(VLOOKUP(Matriz_Riesgos[[#This Row],[Valor del Riesgo Inherente]],t_nivel_riesgo[],2,FALSE), "")</f>
        <v>Riesgo Medio</v>
      </c>
      <c r="N42" s="4" t="s">
        <v>331</v>
      </c>
      <c r="O42" s="25" t="s">
        <v>190</v>
      </c>
      <c r="P42" s="4" t="s">
        <v>364</v>
      </c>
      <c r="Q42" s="64"/>
      <c r="R42" s="64"/>
      <c r="S42" s="64"/>
      <c r="T42" s="98"/>
      <c r="U42" s="55"/>
      <c r="V42" s="56"/>
      <c r="W42" s="57"/>
      <c r="X42" s="4"/>
      <c r="Y42" s="55"/>
      <c r="Z42" s="37"/>
      <c r="AA42" s="57"/>
      <c r="AB42" s="4"/>
      <c r="AC42" s="55"/>
      <c r="AD42" s="56"/>
      <c r="AE42" s="57"/>
      <c r="AF42" s="25"/>
      <c r="AG42" s="66">
        <f>IF(AND(T42="",X42="",AB42=""),"",('Otras Tablas'!$B$3*IF(W42="",0,W42)+'Otras Tablas'!$B$4*IF(AA42="",0,AA42)+'Otras Tablas'!$B$5*IF(AE42="",0,AE42)))</f>
      </c>
      <c r="AH42" s="102" t="str">
        <f>IF(Matriz_Riesgos[[#This Row],[Riesgo Inherente]]="","",Matriz_Riesgos[[#This Row],[Riesgo Inherente]])</f>
        <v>Modificaciones sustanciales e injustificadas en las condiciones y/o requisitos contractuales establecidos inicialmente para el cumplimiento del contrato.</v>
      </c>
      <c r="AI42"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2</v>
      </c>
      <c r="AJ42"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4</v>
      </c>
      <c r="AK42" s="102">
        <f>IFERROR(ROUND(MAX(1,Matriz_Riesgos[[#This Row],[Valor del Riesgo Inherente]]*(1 - Matriz_Riesgos[[#This Row],[Efectividad Total Ponderada de los Controles]])),0), "")</f>
        <v>5</v>
      </c>
      <c r="AL42" s="102" t="str">
        <f>IFERROR(VLOOKUP(Matriz_Riesgos[[#This Row],[Valor del Riesgo Residual]],t_nivel_riesgo[],2,FALSE),"")</f>
        <v>Riesgo Medio</v>
      </c>
      <c r="AM42" s="25" t="s">
        <v>197</v>
      </c>
      <c r="AN42" s="6"/>
      <c r="AO42" s="4"/>
      <c r="AP42" s="4"/>
      <c r="AQ42" s="4"/>
      <c r="AR42" s="4"/>
      <c r="AS42" s="4"/>
      <c r="AT42" s="4"/>
      <c r="AU42" s="4"/>
      <c r="AV42" s="4"/>
      <c r="AW42" s="4"/>
      <c r="AX42" s="96">
        <f>IFERROR((1-Matriz_Riesgos[[#This Row],[Efectividad Total Ponderada de los Controles]])*Matriz_Riesgos[[#This Row],[Frecuencia]],"")</f>
        <v>2</v>
      </c>
      <c r="AY42" s="96">
        <f>IFERROR((1-Matriz_Riesgos[[#This Row],[Efectividad Total Ponderada de los Controles]])*Matriz_Riesgos[[#This Row],[Impacto]],"")</f>
        <v>4</v>
      </c>
      <c r="AZ42" s="96">
        <f>IFERROR(Matriz_Riesgos[[#This Row],[Valor del Riesgo Residual]] + 1, "")</f>
        <v>6</v>
      </c>
      <c r="BA42" s="96">
        <f>IFERROR(MAX(1, ROUNDDOWN(Matriz_Riesgos[[#This Row],[Frecuencia Residual (AUX)]],0)),"")</f>
        <v>2</v>
      </c>
      <c r="BB42" s="96">
        <f>IFERROR(MAX(1, ROUNDDOWN(Matriz_Riesgos[[#This Row],[Impacto Residual (AUX)]],0)),"")</f>
        <v>4</v>
      </c>
      <c r="BC42" s="96">
        <f>IF(Matriz_Riesgos[[#This Row],[Frecuencia]]="","",Matriz_Riesgos[[#This Row],[Frecuencia]])</f>
        <v>2</v>
      </c>
      <c r="BD42" s="96">
        <f>IF(Matriz_Riesgos[[#This Row],[Impacto]]="","",Matriz_Riesgos[[#This Row],[Impacto]])</f>
        <v>4</v>
      </c>
      <c r="BE42" s="96">
        <f>IF(OR(Matriz_Riesgos[[#This Row],[Tope F (AUX)]]="",Matriz_Riesgos[[#This Row],[F_base (AUX)]]=""),"",MAX(0,Matriz_Riesgos[[#This Row],[Tope F (AUX)]]-Matriz_Riesgos[[#This Row],[F_base (AUX)]]))</f>
        <v>0</v>
      </c>
      <c r="BF42" s="96">
        <f>IF(OR(Matriz_Riesgos[[#This Row],[Tope I (AUX)]]="",Matriz_Riesgos[[#This Row],[I_base (AUX)]]=""),"",MAX(0,Matriz_Riesgos[[#This Row],[Tope I (AUX)]]-Matriz_Riesgos[[#This Row],[I_base (AUX)]]))</f>
        <v>0</v>
      </c>
      <c r="BG42" s="96">
        <f>IF(OR(Matriz_Riesgos[[#This Row],[Suma Residual redondeada (AUX)]]="",Matriz_Riesgos[[#This Row],[F_base (AUX)]]="",Matriz_Riesgos[[#This Row],[I_base (AUX)]]=""),"",MAX(0,Matriz_Riesgos[[#This Row],[Suma Residual redondeada (AUX)]]-(Matriz_Riesgos[[#This Row],[F_base (AUX)]]+Matriz_Riesgos[[#This Row],[I_base (AUX)]])))</f>
        <v>0</v>
      </c>
      <c r="BH42" s="96">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42" s="96">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42" s="96">
        <f>IF(OR(Matriz_Riesgos[[#This Row],[Resto (AUX)]]="",Matriz_Riesgos[[#This Row],[Capacidad F (AUX)]]="",Matriz_Riesgos[[#This Row],[Inc_I (AUX)]]=""),"",MIN(Matriz_Riesgos[[#This Row],[Capacidad F (AUX)]], MAX(0,Matriz_Riesgos[[#This Row],[Resto (AUX)]]-Matriz_Riesgos[[#This Row],[Inc_I (AUX)]])))</f>
        <v>0</v>
      </c>
      <c r="BK42" s="96">
        <f>IFERROR(MAX(ROUND(Matriz_Riesgos[[#This Row],[Frecuencia Residual (AUX)]]+Matriz_Riesgos[[#This Row],[Impacto Residual (AUX)]]-1+Matriz_Riesgos[[#This Row],[Efectividad Total Ponderada de los Controles]],0),1),"")</f>
        <v>5</v>
      </c>
      <c r="BL42" s="96">
        <f>IFERROR(Matriz_Riesgos[[#This Row],[Valor del Riesgo Residual]]-Matriz_Riesgos[[#This Row],[Valor del Riesgo Residual (AUX)]],"")</f>
        <v>0</v>
      </c>
      <c r="BM42" s="96">
        <f>IFERROR(Matriz_Riesgos[[#This Row],[Frecuencia Residual]]+Matriz_Riesgos[[#This Row],[Impacto Residual]]-1,"")</f>
        <v>5</v>
      </c>
      <c r="BN42" s="96">
        <f>IFERROR(Matriz_Riesgos[[#This Row],[Valor del Riesgo Residual]]-Matriz_Riesgos[[#This Row],[VRR 2]],"")</f>
        <v>0</v>
      </c>
      <c r="BO42" s="96">
        <f>IFERROR(Matriz_Riesgos[[#This Row],[Frecuencia]]-Matriz_Riesgos[[#This Row],[Frecuencia Residual]],"")</f>
        <v>0</v>
      </c>
      <c r="BP42" s="96">
        <f>IFERROR(Matriz_Riesgos[[#This Row],[Impacto]]-Matriz_Riesgos[[#This Row],[Impacto Residual]],"")</f>
        <v>0</v>
      </c>
      <c r="BQ42" s="96">
        <f>IFERROR(Matriz_Riesgos[[#This Row],[Valor del Riesgo Inherente]]-Matriz_Riesgos[[#This Row],[Valor del Riesgo Residual]],"")</f>
        <v>0</v>
      </c>
      <c r="BR42" s="4"/>
      <c r="BS42" s="4"/>
      <c r="BT42" s="4"/>
      <c r="BU42" s="9"/>
      <c r="BV42" s="9"/>
      <c r="BW42" s="9"/>
      <c r="BX42" s="4"/>
      <c r="BY42" s="4"/>
      <c r="BZ42" s="4"/>
      <c r="CA42" s="4"/>
      <c r="CB42" s="4"/>
      <c r="CC42" s="4"/>
      <c r="CD42" s="4"/>
    </row>
    <row r="43" spans="1:75" ht="166.5" customHeight="1">
      <c r="A43" s="100">
        <v>42</v>
      </c>
      <c r="B43" s="37" t="inlineStr">
        <is>
          <t>RCUMP-COMPRAS-42</t>
        </is>
      </c>
      <c r="C43" s="4" t="s">
        <v>331</v>
      </c>
      <c r="D43" s="25"/>
      <c r="E43" s="36" t="s">
        <v>391</v>
      </c>
      <c r="F43" s="4" t="s">
        <v>485</v>
      </c>
      <c r="G43" s="6"/>
      <c r="H43" s="4" t="s">
        <v>507</v>
      </c>
      <c r="I43" s="145" t="s">
        <v>508</v>
      </c>
      <c r="J43" s="25">
        <v>2</v>
      </c>
      <c r="K43" s="25">
        <v>5</v>
      </c>
      <c r="L43" s="37">
        <f>IF((Matriz_Riesgos[[#This Row],[Frecuencia]]+Matriz_Riesgos[[#This Row],[Impacto]]-1)=-1,"",Matriz_Riesgos[[#This Row],[Frecuencia]]+Matriz_Riesgos[[#This Row],[Impacto]]-1)</f>
        <v>6</v>
      </c>
      <c r="M43" s="37" t="str">
        <f>IFERROR(VLOOKUP(Matriz_Riesgos[[#This Row],[Valor del Riesgo Inherente]],t_nivel_riesgo[],2,FALSE), "")</f>
        <v>Riesgo Alto</v>
      </c>
      <c r="N43" s="4" t="s">
        <v>331</v>
      </c>
      <c r="O43" s="25" t="s">
        <v>190</v>
      </c>
      <c r="P43" s="4" t="s">
        <v>364</v>
      </c>
      <c r="Q43" s="64"/>
      <c r="R43" s="64"/>
      <c r="S43" s="64"/>
      <c r="T43" s="98"/>
      <c r="U43" s="55"/>
      <c r="V43" s="56"/>
      <c r="W43" s="57"/>
      <c r="X43" s="4"/>
      <c r="Y43" s="55"/>
      <c r="Z43" s="37"/>
      <c r="AA43" s="57"/>
      <c r="AB43" s="4"/>
      <c r="AC43" s="55"/>
      <c r="AD43" s="56"/>
      <c r="AE43" s="57"/>
      <c r="AF43" s="25"/>
      <c r="AG43" s="66">
        <f>IF(AND(T43="",X43="",AB43=""),"",('Otras Tablas'!$B$3*IF(W43="",0,W43)+'Otras Tablas'!$B$4*IF(AA43="",0,AA43)+'Otras Tablas'!$B$5*IF(AE43="",0,AE43)))</f>
      </c>
      <c r="AH43" s="102" t="str">
        <f>IF(Matriz_Riesgos[[#This Row],[Riesgo Inherente]]="","",Matriz_Riesgos[[#This Row],[Riesgo Inherente]])</f>
        <v>Revelacion, no autorizada, de informacion a determinada(s) empresa(s), en el marco de una licitación pública.</v>
      </c>
      <c r="AI43"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2</v>
      </c>
      <c r="AJ43"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43" s="102">
        <f>IFERROR(ROUND(MAX(1,Matriz_Riesgos[[#This Row],[Valor del Riesgo Inherente]]*(1 - Matriz_Riesgos[[#This Row],[Efectividad Total Ponderada de los Controles]])),0), "")</f>
        <v>6</v>
      </c>
      <c r="AL43" s="102" t="str">
        <f>IFERROR(VLOOKUP(Matriz_Riesgos[[#This Row],[Valor del Riesgo Residual]],t_nivel_riesgo[],2,FALSE),"")</f>
        <v>Riesgo Alto</v>
      </c>
      <c r="AM43" s="25" t="s">
        <v>197</v>
      </c>
      <c r="AN43" s="6"/>
      <c r="AO43" s="4"/>
      <c r="AP43" s="4"/>
      <c r="AQ43" s="4"/>
      <c r="AR43" s="4"/>
      <c r="AS43" s="4"/>
      <c r="AT43" s="4"/>
      <c r="AU43" s="4"/>
      <c r="AV43" s="4"/>
      <c r="AW43" s="4"/>
      <c r="AX43" s="96">
        <f>IFERROR((1-Matriz_Riesgos[[#This Row],[Efectividad Total Ponderada de los Controles]])*Matriz_Riesgos[[#This Row],[Frecuencia]],"")</f>
        <v>2</v>
      </c>
      <c r="AY43" s="96">
        <f>IFERROR((1-Matriz_Riesgos[[#This Row],[Efectividad Total Ponderada de los Controles]])*Matriz_Riesgos[[#This Row],[Impacto]],"")</f>
        <v>5</v>
      </c>
      <c r="AZ43" s="96">
        <f>IFERROR(Matriz_Riesgos[[#This Row],[Valor del Riesgo Residual]] + 1, "")</f>
        <v>7</v>
      </c>
      <c r="BA43" s="96">
        <f>IFERROR(MAX(1, ROUNDDOWN(Matriz_Riesgos[[#This Row],[Frecuencia Residual (AUX)]],0)),"")</f>
        <v>2</v>
      </c>
      <c r="BB43" s="96">
        <f>IFERROR(MAX(1, ROUNDDOWN(Matriz_Riesgos[[#This Row],[Impacto Residual (AUX)]],0)),"")</f>
        <v>5</v>
      </c>
      <c r="BC43" s="96">
        <f>IF(Matriz_Riesgos[[#This Row],[Frecuencia]]="","",Matriz_Riesgos[[#This Row],[Frecuencia]])</f>
        <v>2</v>
      </c>
      <c r="BD43" s="96">
        <f>IF(Matriz_Riesgos[[#This Row],[Impacto]]="","",Matriz_Riesgos[[#This Row],[Impacto]])</f>
        <v>5</v>
      </c>
      <c r="BE43" s="96">
        <f>IF(OR(Matriz_Riesgos[[#This Row],[Tope F (AUX)]]="",Matriz_Riesgos[[#This Row],[F_base (AUX)]]=""),"",MAX(0,Matriz_Riesgos[[#This Row],[Tope F (AUX)]]-Matriz_Riesgos[[#This Row],[F_base (AUX)]]))</f>
        <v>0</v>
      </c>
      <c r="BF43" s="96">
        <f>IF(OR(Matriz_Riesgos[[#This Row],[Tope I (AUX)]]="",Matriz_Riesgos[[#This Row],[I_base (AUX)]]=""),"",MAX(0,Matriz_Riesgos[[#This Row],[Tope I (AUX)]]-Matriz_Riesgos[[#This Row],[I_base (AUX)]]))</f>
        <v>0</v>
      </c>
      <c r="BG43" s="96">
        <f>IF(OR(Matriz_Riesgos[[#This Row],[Suma Residual redondeada (AUX)]]="",Matriz_Riesgos[[#This Row],[F_base (AUX)]]="",Matriz_Riesgos[[#This Row],[I_base (AUX)]]=""),"",MAX(0,Matriz_Riesgos[[#This Row],[Suma Residual redondeada (AUX)]]-(Matriz_Riesgos[[#This Row],[F_base (AUX)]]+Matriz_Riesgos[[#This Row],[I_base (AUX)]])))</f>
        <v>0</v>
      </c>
      <c r="BH43" s="96">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43" s="96">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43" s="96">
        <f>IF(OR(Matriz_Riesgos[[#This Row],[Resto (AUX)]]="",Matriz_Riesgos[[#This Row],[Capacidad F (AUX)]]="",Matriz_Riesgos[[#This Row],[Inc_I (AUX)]]=""),"",MIN(Matriz_Riesgos[[#This Row],[Capacidad F (AUX)]], MAX(0,Matriz_Riesgos[[#This Row],[Resto (AUX)]]-Matriz_Riesgos[[#This Row],[Inc_I (AUX)]])))</f>
        <v>0</v>
      </c>
      <c r="BK43" s="96">
        <f>IFERROR(MAX(ROUND(Matriz_Riesgos[[#This Row],[Frecuencia Residual (AUX)]]+Matriz_Riesgos[[#This Row],[Impacto Residual (AUX)]]-1+Matriz_Riesgos[[#This Row],[Efectividad Total Ponderada de los Controles]],0),1),"")</f>
        <v>6</v>
      </c>
      <c r="BL43" s="96">
        <f>IFERROR(Matriz_Riesgos[[#This Row],[Valor del Riesgo Residual]]-Matriz_Riesgos[[#This Row],[Valor del Riesgo Residual (AUX)]],"")</f>
        <v>0</v>
      </c>
      <c r="BM43" s="96">
        <f>IFERROR(Matriz_Riesgos[[#This Row],[Frecuencia Residual]]+Matriz_Riesgos[[#This Row],[Impacto Residual]]-1,"")</f>
        <v>6</v>
      </c>
      <c r="BN43" s="96">
        <f>IFERROR(Matriz_Riesgos[[#This Row],[Valor del Riesgo Residual]]-Matriz_Riesgos[[#This Row],[VRR 2]],"")</f>
        <v>0</v>
      </c>
      <c r="BO43" s="96">
        <f>IFERROR(Matriz_Riesgos[[#This Row],[Frecuencia]]-Matriz_Riesgos[[#This Row],[Frecuencia Residual]],"")</f>
        <v>0</v>
      </c>
      <c r="BP43" s="96">
        <f>IFERROR(Matriz_Riesgos[[#This Row],[Impacto]]-Matriz_Riesgos[[#This Row],[Impacto Residual]],"")</f>
        <v>0</v>
      </c>
      <c r="BQ43" s="96">
        <f>IFERROR(Matriz_Riesgos[[#This Row],[Valor del Riesgo Inherente]]-Matriz_Riesgos[[#This Row],[Valor del Riesgo Residual]],"")</f>
        <v>0</v>
      </c>
      <c r="BR43" s="4"/>
      <c r="BS43" s="4"/>
      <c r="BT43" s="4"/>
      <c r="BU43" s="9"/>
      <c r="BV43" s="9"/>
      <c r="BW43" s="9"/>
      <c r="BX43" s="4"/>
      <c r="BY43" s="4"/>
      <c r="BZ43" s="4"/>
      <c r="CA43" s="4"/>
      <c r="CB43" s="4"/>
      <c r="CC43" s="4"/>
      <c r="CD43" s="4"/>
    </row>
    <row r="44" spans="1:75" s="113" customFormat="1" ht="192">
      <c r="A44" s="101">
        <v>43</v>
      </c>
      <c r="B44" s="102" t="inlineStr">
        <is>
          <t>RCUMP-COMPRAS-43</t>
        </is>
      </c>
      <c r="C44" s="103" t="s">
        <v>331</v>
      </c>
      <c r="D44" s="104"/>
      <c r="E44" s="104" t="s">
        <v>391</v>
      </c>
      <c r="F44" s="103" t="s">
        <v>509</v>
      </c>
      <c r="G44" s="105"/>
      <c r="H44" s="103" t="s">
        <v>510</v>
      </c>
      <c r="I44" s="144" t="s">
        <v>511</v>
      </c>
      <c r="J44" s="104">
        <v>4</v>
      </c>
      <c r="K44" s="104">
        <v>5</v>
      </c>
      <c r="L44" s="102">
        <f>IF((Matriz_Riesgos[[#This Row],[Frecuencia]]+Matriz_Riesgos[[#This Row],[Impacto]]-1)=-1,"",Matriz_Riesgos[[#This Row],[Frecuencia]]+Matriz_Riesgos[[#This Row],[Impacto]]-1)</f>
        <v>8</v>
      </c>
      <c r="M44" s="102" t="str">
        <f>IFERROR(VLOOKUP(Matriz_Riesgos[[#This Row],[Valor del Riesgo Inherente]],t_nivel_riesgo[],2,FALSE), "")</f>
        <v>Riesgo Intolerable</v>
      </c>
      <c r="N44" s="103" t="s">
        <v>331</v>
      </c>
      <c r="O44" s="104" t="s">
        <v>190</v>
      </c>
      <c r="P44" s="103" t="s">
        <v>512</v>
      </c>
      <c r="Q44" s="106"/>
      <c r="R44" s="106"/>
      <c r="S44" s="106"/>
      <c r="T44" s="107" t="s">
        <v>513</v>
      </c>
      <c r="U44" s="108"/>
      <c r="V44" s="109"/>
      <c r="W44" s="110"/>
      <c r="X44" s="103"/>
      <c r="Y44" s="108"/>
      <c r="Z44" s="102"/>
      <c r="AA44" s="110"/>
      <c r="AB44" s="103"/>
      <c r="AC44" s="108"/>
      <c r="AD44" s="109"/>
      <c r="AE44" s="110"/>
      <c r="AF44" s="104"/>
      <c r="AG44" s="111">
        <f>IF(AND(T44="",X44="",AB44=""),"",('Otras Tablas'!$B$3*IF(W44="",0,W44)+'Otras Tablas'!$B$4*IF(AA44="",0,AA44)+'Otras Tablas'!$B$5*IF(AE44="",0,AE44)))</f>
      </c>
      <c r="AH44" s="102" t="str">
        <f>IF(Matriz_Riesgos[[#This Row],[Riesgo Inherente]]="","",Matriz_Riesgos[[#This Row],[Riesgo Inherente]])</f>
        <v>Aprobación, permanencia o contratación de proveedores que presentan información incompleta, falsa o manipulada respecto a su identidad, beneficiarios finales, situación financiera, antecedentes legales o cumplimiento normativo</v>
      </c>
      <c r="AI44"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4</v>
      </c>
      <c r="AJ44"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44" s="102">
        <f>IFERROR(ROUND(MAX(1,Matriz_Riesgos[[#This Row],[Valor del Riesgo Inherente]]*(1 - Matriz_Riesgos[[#This Row],[Efectividad Total Ponderada de los Controles]])),0), "")</f>
        <v>8</v>
      </c>
      <c r="AL44" s="102" t="str">
        <f>IFERROR(VLOOKUP(Matriz_Riesgos[[#This Row],[Valor del Riesgo Residual]],t_nivel_riesgo[],2,FALSE),"")</f>
        <v>Riesgo Intolerable</v>
      </c>
      <c r="AM44" s="104" t="s">
        <v>197</v>
      </c>
      <c r="AN44" s="105"/>
      <c r="AO44" s="103"/>
      <c r="AP44" s="103"/>
      <c r="AQ44" s="103"/>
      <c r="AR44" s="103"/>
      <c r="AS44" s="103"/>
      <c r="AT44" s="103"/>
      <c r="AU44" s="103"/>
      <c r="AV44" s="103"/>
      <c r="AW44" s="103"/>
      <c r="AX44" s="112">
        <f>IFERROR((1-Matriz_Riesgos[[#This Row],[Efectividad Total Ponderada de los Controles]])*Matriz_Riesgos[[#This Row],[Frecuencia]],"")</f>
        <v>4</v>
      </c>
      <c r="AY44" s="112">
        <f>IFERROR((1-Matriz_Riesgos[[#This Row],[Efectividad Total Ponderada de los Controles]])*Matriz_Riesgos[[#This Row],[Impacto]],"")</f>
        <v>5</v>
      </c>
      <c r="AZ44" s="112">
        <f>IFERROR(Matriz_Riesgos[[#This Row],[Valor del Riesgo Residual]] + 1, "")</f>
        <v>9</v>
      </c>
      <c r="BA44" s="112">
        <f>IFERROR(MAX(1, ROUNDDOWN(Matriz_Riesgos[[#This Row],[Frecuencia Residual (AUX)]],0)),"")</f>
        <v>4</v>
      </c>
      <c r="BB44" s="112">
        <f>IFERROR(MAX(1, ROUNDDOWN(Matriz_Riesgos[[#This Row],[Impacto Residual (AUX)]],0)),"")</f>
        <v>5</v>
      </c>
      <c r="BC44" s="112">
        <f>IF(Matriz_Riesgos[[#This Row],[Frecuencia]]="","",Matriz_Riesgos[[#This Row],[Frecuencia]])</f>
        <v>4</v>
      </c>
      <c r="BD44" s="112">
        <f>IF(Matriz_Riesgos[[#This Row],[Impacto]]="","",Matriz_Riesgos[[#This Row],[Impacto]])</f>
        <v>5</v>
      </c>
      <c r="BE44" s="112">
        <f>IF(OR(Matriz_Riesgos[[#This Row],[Tope F (AUX)]]="",Matriz_Riesgos[[#This Row],[F_base (AUX)]]=""),"",MAX(0,Matriz_Riesgos[[#This Row],[Tope F (AUX)]]-Matriz_Riesgos[[#This Row],[F_base (AUX)]]))</f>
        <v>0</v>
      </c>
      <c r="BF44" s="112">
        <f>IF(OR(Matriz_Riesgos[[#This Row],[Tope I (AUX)]]="",Matriz_Riesgos[[#This Row],[I_base (AUX)]]=""),"",MAX(0,Matriz_Riesgos[[#This Row],[Tope I (AUX)]]-Matriz_Riesgos[[#This Row],[I_base (AUX)]]))</f>
        <v>0</v>
      </c>
      <c r="BG44" s="112">
        <f>IF(OR(Matriz_Riesgos[[#This Row],[Suma Residual redondeada (AUX)]]="",Matriz_Riesgos[[#This Row],[F_base (AUX)]]="",Matriz_Riesgos[[#This Row],[I_base (AUX)]]=""),"",MAX(0,Matriz_Riesgos[[#This Row],[Suma Residual redondeada (AUX)]]-(Matriz_Riesgos[[#This Row],[F_base (AUX)]]+Matriz_Riesgos[[#This Row],[I_base (AUX)]])))</f>
        <v>0</v>
      </c>
      <c r="BH44"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44"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44" s="112">
        <f>IF(OR(Matriz_Riesgos[[#This Row],[Resto (AUX)]]="",Matriz_Riesgos[[#This Row],[Capacidad F (AUX)]]="",Matriz_Riesgos[[#This Row],[Inc_I (AUX)]]=""),"",MIN(Matriz_Riesgos[[#This Row],[Capacidad F (AUX)]], MAX(0,Matriz_Riesgos[[#This Row],[Resto (AUX)]]-Matriz_Riesgos[[#This Row],[Inc_I (AUX)]])))</f>
        <v>0</v>
      </c>
      <c r="BK44" s="112">
        <f>IFERROR(MAX(ROUND(Matriz_Riesgos[[#This Row],[Frecuencia Residual (AUX)]]+Matriz_Riesgos[[#This Row],[Impacto Residual (AUX)]]-1+Matriz_Riesgos[[#This Row],[Efectividad Total Ponderada de los Controles]],0),1),"")</f>
        <v>8</v>
      </c>
      <c r="BL44" s="112">
        <f>IFERROR(Matriz_Riesgos[[#This Row],[Valor del Riesgo Residual]]-Matriz_Riesgos[[#This Row],[Valor del Riesgo Residual (AUX)]],"")</f>
        <v>0</v>
      </c>
      <c r="BM44" s="112">
        <f>IFERROR(Matriz_Riesgos[[#This Row],[Frecuencia Residual]]+Matriz_Riesgos[[#This Row],[Impacto Residual]]-1,"")</f>
        <v>8</v>
      </c>
      <c r="BN44" s="112">
        <f>IFERROR(Matriz_Riesgos[[#This Row],[Valor del Riesgo Residual]]-Matriz_Riesgos[[#This Row],[VRR 2]],"")</f>
        <v>0</v>
      </c>
      <c r="BO44" s="112">
        <f>IFERROR(Matriz_Riesgos[[#This Row],[Frecuencia]]-Matriz_Riesgos[[#This Row],[Frecuencia Residual]],"")</f>
        <v>0</v>
      </c>
      <c r="BP44" s="112">
        <f>IFERROR(Matriz_Riesgos[[#This Row],[Impacto]]-Matriz_Riesgos[[#This Row],[Impacto Residual]],"")</f>
        <v>0</v>
      </c>
      <c r="BQ44" s="112">
        <f>IFERROR(Matriz_Riesgos[[#This Row],[Valor del Riesgo Inherente]]-Matriz_Riesgos[[#This Row],[Valor del Riesgo Residual]],"")</f>
        <v>0</v>
      </c>
      <c r="BR44" s="4"/>
      <c r="BS44" s="4"/>
      <c r="BT44" s="4"/>
      <c r="BU44" s="4"/>
      <c r="BV44" s="4"/>
      <c r="BW44" s="4"/>
      <c r="BX44" s="4"/>
      <c r="BY44" s="4"/>
      <c r="BZ44" s="4"/>
      <c r="CA44" s="4"/>
      <c r="CB44" s="4"/>
      <c r="CC44" s="4"/>
      <c r="CD44" s="4"/>
    </row>
    <row r="45" spans="1:75" s="113" customFormat="1" ht="168">
      <c r="A45" s="101">
        <v>44</v>
      </c>
      <c r="B45" s="102" t="inlineStr">
        <is>
          <t>RCUMP-COMPRASCONTR-44</t>
        </is>
      </c>
      <c r="C45" s="103" t="s">
        <v>514</v>
      </c>
      <c r="D45" s="104"/>
      <c r="E45" s="104" t="s">
        <v>391</v>
      </c>
      <c r="F45" s="103" t="s">
        <v>515</v>
      </c>
      <c r="G45" s="105"/>
      <c r="H45" s="103" t="s">
        <v>516</v>
      </c>
      <c r="I45" s="144" t="s">
        <v>517</v>
      </c>
      <c r="J45" s="104">
        <v>2</v>
      </c>
      <c r="K45" s="104">
        <v>5</v>
      </c>
      <c r="L45" s="102">
        <f>IF((Matriz_Riesgos[[#This Row],[Frecuencia]]+Matriz_Riesgos[[#This Row],[Impacto]]-1)=-1,"",Matriz_Riesgos[[#This Row],[Frecuencia]]+Matriz_Riesgos[[#This Row],[Impacto]]-1)</f>
        <v>6</v>
      </c>
      <c r="M45" s="102" t="str">
        <f>IFERROR(VLOOKUP(Matriz_Riesgos[[#This Row],[Valor del Riesgo Inherente]],t_nivel_riesgo[],2,FALSE), "")</f>
        <v>Riesgo Alto</v>
      </c>
      <c r="N45" s="103" t="s">
        <v>514</v>
      </c>
      <c r="O45" s="104" t="s">
        <v>190</v>
      </c>
      <c r="P45" s="103" t="s">
        <v>518</v>
      </c>
      <c r="Q45" s="106"/>
      <c r="R45" s="106"/>
      <c r="S45" s="106"/>
      <c r="T45" s="107" t="s">
        <v>519</v>
      </c>
      <c r="U45" s="108"/>
      <c r="V45" s="109"/>
      <c r="W45" s="110"/>
      <c r="X45" s="103"/>
      <c r="Y45" s="108"/>
      <c r="Z45" s="102"/>
      <c r="AA45" s="110"/>
      <c r="AB45" s="103"/>
      <c r="AC45" s="108"/>
      <c r="AD45" s="109"/>
      <c r="AE45" s="110"/>
      <c r="AF45" s="104"/>
      <c r="AG45" s="111">
        <f>IF(AND(T45="",X45="",AB45=""),"",('Otras Tablas'!$B$3*IF(W45="",0,W45)+'Otras Tablas'!$B$4*IF(AA45="",0,AA45)+'Otras Tablas'!$B$5*IF(AE45="",0,AE45)))</f>
      </c>
      <c r="AH45" s="102" t="str">
        <f>IF(Matriz_Riesgos[[#This Row],[Riesgo Inherente]]="","",Matriz_Riesgos[[#This Row],[Riesgo Inherente]])</f>
        <v>Vinculación o permanencia de una PEP sin clasificación como tal en los sistemas internos, sin aplicación de debida diligencia incrementada ni aprobación de instancias superiores</v>
      </c>
      <c r="AI45"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2</v>
      </c>
      <c r="AJ45"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45" s="102">
        <f>IFERROR(ROUND(MAX(1,Matriz_Riesgos[[#This Row],[Valor del Riesgo Inherente]]*(1 - Matriz_Riesgos[[#This Row],[Efectividad Total Ponderada de los Controles]])),0), "")</f>
        <v>6</v>
      </c>
      <c r="AL45" s="102" t="str">
        <f>IFERROR(VLOOKUP(Matriz_Riesgos[[#This Row],[Valor del Riesgo Residual]],t_nivel_riesgo[],2,FALSE),"")</f>
        <v>Riesgo Alto</v>
      </c>
      <c r="AM45" s="104" t="s">
        <v>197</v>
      </c>
      <c r="AN45" s="105"/>
      <c r="AO45" s="103"/>
      <c r="AP45" s="103"/>
      <c r="AQ45" s="103"/>
      <c r="AR45" s="103"/>
      <c r="AS45" s="103"/>
      <c r="AT45" s="103"/>
      <c r="AU45" s="103"/>
      <c r="AV45" s="103"/>
      <c r="AW45" s="103"/>
      <c r="AX45" s="112">
        <f>IFERROR((1-Matriz_Riesgos[[#This Row],[Efectividad Total Ponderada de los Controles]])*Matriz_Riesgos[[#This Row],[Frecuencia]],"")</f>
        <v>2</v>
      </c>
      <c r="AY45" s="112">
        <f>IFERROR((1-Matriz_Riesgos[[#This Row],[Efectividad Total Ponderada de los Controles]])*Matriz_Riesgos[[#This Row],[Impacto]],"")</f>
        <v>5</v>
      </c>
      <c r="AZ45" s="112">
        <f>IFERROR(Matriz_Riesgos[[#This Row],[Valor del Riesgo Residual]] + 1, "")</f>
        <v>7</v>
      </c>
      <c r="BA45" s="112">
        <f>IFERROR(MAX(1, ROUNDDOWN(Matriz_Riesgos[[#This Row],[Frecuencia Residual (AUX)]],0)),"")</f>
        <v>2</v>
      </c>
      <c r="BB45" s="112">
        <f>IFERROR(MAX(1, ROUNDDOWN(Matriz_Riesgos[[#This Row],[Impacto Residual (AUX)]],0)),"")</f>
        <v>5</v>
      </c>
      <c r="BC45" s="112">
        <f>IF(Matriz_Riesgos[[#This Row],[Frecuencia]]="","",Matriz_Riesgos[[#This Row],[Frecuencia]])</f>
        <v>2</v>
      </c>
      <c r="BD45" s="112">
        <f>IF(Matriz_Riesgos[[#This Row],[Impacto]]="","",Matriz_Riesgos[[#This Row],[Impacto]])</f>
        <v>5</v>
      </c>
      <c r="BE45" s="112">
        <f>IF(OR(Matriz_Riesgos[[#This Row],[Tope F (AUX)]]="",Matriz_Riesgos[[#This Row],[F_base (AUX)]]=""),"",MAX(0,Matriz_Riesgos[[#This Row],[Tope F (AUX)]]-Matriz_Riesgos[[#This Row],[F_base (AUX)]]))</f>
        <v>0</v>
      </c>
      <c r="BF45" s="112">
        <f>IF(OR(Matriz_Riesgos[[#This Row],[Tope I (AUX)]]="",Matriz_Riesgos[[#This Row],[I_base (AUX)]]=""),"",MAX(0,Matriz_Riesgos[[#This Row],[Tope I (AUX)]]-Matriz_Riesgos[[#This Row],[I_base (AUX)]]))</f>
        <v>0</v>
      </c>
      <c r="BG45" s="112">
        <f>IF(OR(Matriz_Riesgos[[#This Row],[Suma Residual redondeada (AUX)]]="",Matriz_Riesgos[[#This Row],[F_base (AUX)]]="",Matriz_Riesgos[[#This Row],[I_base (AUX)]]=""),"",MAX(0,Matriz_Riesgos[[#This Row],[Suma Residual redondeada (AUX)]]-(Matriz_Riesgos[[#This Row],[F_base (AUX)]]+Matriz_Riesgos[[#This Row],[I_base (AUX)]])))</f>
        <v>0</v>
      </c>
      <c r="BH45"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45"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45" s="112">
        <f>IF(OR(Matriz_Riesgos[[#This Row],[Resto (AUX)]]="",Matriz_Riesgos[[#This Row],[Capacidad F (AUX)]]="",Matriz_Riesgos[[#This Row],[Inc_I (AUX)]]=""),"",MIN(Matriz_Riesgos[[#This Row],[Capacidad F (AUX)]], MAX(0,Matriz_Riesgos[[#This Row],[Resto (AUX)]]-Matriz_Riesgos[[#This Row],[Inc_I (AUX)]])))</f>
        <v>0</v>
      </c>
      <c r="BK45" s="112">
        <f>IFERROR(MAX(ROUND(Matriz_Riesgos[[#This Row],[Frecuencia Residual (AUX)]]+Matriz_Riesgos[[#This Row],[Impacto Residual (AUX)]]-1+Matriz_Riesgos[[#This Row],[Efectividad Total Ponderada de los Controles]],0),1),"")</f>
        <v>6</v>
      </c>
      <c r="BL45" s="112">
        <f>IFERROR(Matriz_Riesgos[[#This Row],[Valor del Riesgo Residual]]-Matriz_Riesgos[[#This Row],[Valor del Riesgo Residual (AUX)]],"")</f>
        <v>0</v>
      </c>
      <c r="BM45" s="112">
        <f>IFERROR(Matriz_Riesgos[[#This Row],[Frecuencia Residual]]+Matriz_Riesgos[[#This Row],[Impacto Residual]]-1,"")</f>
        <v>6</v>
      </c>
      <c r="BN45" s="112">
        <f>IFERROR(Matriz_Riesgos[[#This Row],[Valor del Riesgo Residual]]-Matriz_Riesgos[[#This Row],[VRR 2]],"")</f>
        <v>0</v>
      </c>
      <c r="BO45" s="112">
        <f>IFERROR(Matriz_Riesgos[[#This Row],[Frecuencia]]-Matriz_Riesgos[[#This Row],[Frecuencia Residual]],"")</f>
        <v>0</v>
      </c>
      <c r="BP45" s="112">
        <f>IFERROR(Matriz_Riesgos[[#This Row],[Impacto]]-Matriz_Riesgos[[#This Row],[Impacto Residual]],"")</f>
        <v>0</v>
      </c>
      <c r="BQ45" s="112">
        <f>IFERROR(Matriz_Riesgos[[#This Row],[Valor del Riesgo Inherente]]-Matriz_Riesgos[[#This Row],[Valor del Riesgo Residual]],"")</f>
        <v>0</v>
      </c>
      <c r="BR45" s="4"/>
      <c r="BS45" s="4"/>
      <c r="BT45" s="4"/>
      <c r="BU45" s="4"/>
      <c r="BV45" s="4"/>
      <c r="BW45" s="4"/>
      <c r="BX45" s="4"/>
      <c r="BY45" s="4"/>
      <c r="BZ45" s="4"/>
      <c r="CA45" s="4"/>
      <c r="CB45" s="4"/>
      <c r="CC45" s="4"/>
      <c r="CD45" s="4"/>
    </row>
    <row r="46" spans="1:75" s="113" customFormat="1" ht="144">
      <c r="A46" s="101">
        <v>45</v>
      </c>
      <c r="B46" s="102" t="inlineStr">
        <is>
          <t>RCUMP-CONTROLPATRO-45</t>
        </is>
      </c>
      <c r="C46" s="103" t="s">
        <v>520</v>
      </c>
      <c r="D46" s="104"/>
      <c r="E46" s="104" t="s">
        <v>391</v>
      </c>
      <c r="F46" s="103" t="s">
        <v>288</v>
      </c>
      <c r="G46" s="105"/>
      <c r="H46" s="103" t="s">
        <v>521</v>
      </c>
      <c r="I46" s="144" t="s">
        <v>522</v>
      </c>
      <c r="J46" s="104">
        <v>2</v>
      </c>
      <c r="K46" s="104">
        <v>4</v>
      </c>
      <c r="L46" s="102">
        <f>IF((Matriz_Riesgos[[#This Row],[Frecuencia]]+Matriz_Riesgos[[#This Row],[Impacto]]-1)=-1,"",Matriz_Riesgos[[#This Row],[Frecuencia]]+Matriz_Riesgos[[#This Row],[Impacto]]-1)</f>
        <v>5</v>
      </c>
      <c r="M46" s="102" t="str">
        <f>IFERROR(VLOOKUP(Matriz_Riesgos[[#This Row],[Valor del Riesgo Inherente]],t_nivel_riesgo[],2,FALSE), "")</f>
        <v>Riesgo Medio</v>
      </c>
      <c r="N46" s="103" t="s">
        <v>520</v>
      </c>
      <c r="O46" s="104" t="s">
        <v>190</v>
      </c>
      <c r="P46" s="103" t="s">
        <v>523</v>
      </c>
      <c r="Q46" s="106"/>
      <c r="R46" s="106"/>
      <c r="S46" s="106"/>
      <c r="T46" s="107" t="s">
        <v>524</v>
      </c>
      <c r="U46" s="108"/>
      <c r="V46" s="109"/>
      <c r="W46" s="110"/>
      <c r="X46" s="103"/>
      <c r="Y46" s="108"/>
      <c r="Z46" s="102"/>
      <c r="AA46" s="110"/>
      <c r="AB46" s="103"/>
      <c r="AC46" s="108"/>
      <c r="AD46" s="109"/>
      <c r="AE46" s="110"/>
      <c r="AF46" s="104"/>
      <c r="AG46" s="111">
        <f>IF(AND(T46="",X46="",AB46=""),"",('Otras Tablas'!$B$3*IF(W46="",0,W46)+'Otras Tablas'!$B$4*IF(AA46="",0,AA46)+'Otras Tablas'!$B$5*IF(AE46="",0,AE46)))</f>
      </c>
      <c r="AH46" s="102" t="str">
        <f>IF(Matriz_Riesgos[[#This Row],[Riesgo Inherente]]="","",Matriz_Riesgos[[#This Row],[Riesgo Inherente]])</f>
        <v>Aprobación y activación de clientes sin validación adecuada de identidad, actividad económica, origen de fondos, beneficiario final o información legal requerida</v>
      </c>
      <c r="AI46"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2</v>
      </c>
      <c r="AJ46"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4</v>
      </c>
      <c r="AK46" s="102">
        <f>IFERROR(ROUND(MAX(1,Matriz_Riesgos[[#This Row],[Valor del Riesgo Inherente]]*(1 - Matriz_Riesgos[[#This Row],[Efectividad Total Ponderada de los Controles]])),0), "")</f>
        <v>5</v>
      </c>
      <c r="AL46" s="102" t="str">
        <f>IFERROR(VLOOKUP(Matriz_Riesgos[[#This Row],[Valor del Riesgo Residual]],t_nivel_riesgo[],2,FALSE),"")</f>
        <v>Riesgo Medio</v>
      </c>
      <c r="AM46" s="104" t="s">
        <v>197</v>
      </c>
      <c r="AN46" s="105"/>
      <c r="AO46" s="103"/>
      <c r="AP46" s="103"/>
      <c r="AQ46" s="103"/>
      <c r="AR46" s="103"/>
      <c r="AS46" s="103"/>
      <c r="AT46" s="103"/>
      <c r="AU46" s="103"/>
      <c r="AV46" s="103"/>
      <c r="AW46" s="103"/>
      <c r="AX46" s="112">
        <f>IFERROR((1-Matriz_Riesgos[[#This Row],[Efectividad Total Ponderada de los Controles]])*Matriz_Riesgos[[#This Row],[Frecuencia]],"")</f>
        <v>2</v>
      </c>
      <c r="AY46" s="112">
        <f>IFERROR((1-Matriz_Riesgos[[#This Row],[Efectividad Total Ponderada de los Controles]])*Matriz_Riesgos[[#This Row],[Impacto]],"")</f>
        <v>4</v>
      </c>
      <c r="AZ46" s="112">
        <f>IFERROR(Matriz_Riesgos[[#This Row],[Valor del Riesgo Residual]] + 1, "")</f>
        <v>6</v>
      </c>
      <c r="BA46" s="112">
        <f>IFERROR(MAX(1, ROUNDDOWN(Matriz_Riesgos[[#This Row],[Frecuencia Residual (AUX)]],0)),"")</f>
        <v>2</v>
      </c>
      <c r="BB46" s="112">
        <f>IFERROR(MAX(1, ROUNDDOWN(Matriz_Riesgos[[#This Row],[Impacto Residual (AUX)]],0)),"")</f>
        <v>4</v>
      </c>
      <c r="BC46" s="112">
        <f>IF(Matriz_Riesgos[[#This Row],[Frecuencia]]="","",Matriz_Riesgos[[#This Row],[Frecuencia]])</f>
        <v>2</v>
      </c>
      <c r="BD46" s="112">
        <f>IF(Matriz_Riesgos[[#This Row],[Impacto]]="","",Matriz_Riesgos[[#This Row],[Impacto]])</f>
        <v>4</v>
      </c>
      <c r="BE46" s="112">
        <f>IF(OR(Matriz_Riesgos[[#This Row],[Tope F (AUX)]]="",Matriz_Riesgos[[#This Row],[F_base (AUX)]]=""),"",MAX(0,Matriz_Riesgos[[#This Row],[Tope F (AUX)]]-Matriz_Riesgos[[#This Row],[F_base (AUX)]]))</f>
        <v>0</v>
      </c>
      <c r="BF46" s="112">
        <f>IF(OR(Matriz_Riesgos[[#This Row],[Tope I (AUX)]]="",Matriz_Riesgos[[#This Row],[I_base (AUX)]]=""),"",MAX(0,Matriz_Riesgos[[#This Row],[Tope I (AUX)]]-Matriz_Riesgos[[#This Row],[I_base (AUX)]]))</f>
        <v>0</v>
      </c>
      <c r="BG46" s="112">
        <f>IF(OR(Matriz_Riesgos[[#This Row],[Suma Residual redondeada (AUX)]]="",Matriz_Riesgos[[#This Row],[F_base (AUX)]]="",Matriz_Riesgos[[#This Row],[I_base (AUX)]]=""),"",MAX(0,Matriz_Riesgos[[#This Row],[Suma Residual redondeada (AUX)]]-(Matriz_Riesgos[[#This Row],[F_base (AUX)]]+Matriz_Riesgos[[#This Row],[I_base (AUX)]])))</f>
        <v>0</v>
      </c>
      <c r="BH46"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46"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46" s="112">
        <f>IF(OR(Matriz_Riesgos[[#This Row],[Resto (AUX)]]="",Matriz_Riesgos[[#This Row],[Capacidad F (AUX)]]="",Matriz_Riesgos[[#This Row],[Inc_I (AUX)]]=""),"",MIN(Matriz_Riesgos[[#This Row],[Capacidad F (AUX)]], MAX(0,Matriz_Riesgos[[#This Row],[Resto (AUX)]]-Matriz_Riesgos[[#This Row],[Inc_I (AUX)]])))</f>
        <v>0</v>
      </c>
      <c r="BK46" s="112">
        <f>IFERROR(MAX(ROUND(Matriz_Riesgos[[#This Row],[Frecuencia Residual (AUX)]]+Matriz_Riesgos[[#This Row],[Impacto Residual (AUX)]]-1+Matriz_Riesgos[[#This Row],[Efectividad Total Ponderada de los Controles]],0),1),"")</f>
        <v>5</v>
      </c>
      <c r="BL46" s="112">
        <f>IFERROR(Matriz_Riesgos[[#This Row],[Valor del Riesgo Residual]]-Matriz_Riesgos[[#This Row],[Valor del Riesgo Residual (AUX)]],"")</f>
        <v>0</v>
      </c>
      <c r="BM46" s="112">
        <f>IFERROR(Matriz_Riesgos[[#This Row],[Frecuencia Residual]]+Matriz_Riesgos[[#This Row],[Impacto Residual]]-1,"")</f>
        <v>5</v>
      </c>
      <c r="BN46" s="112">
        <f>IFERROR(Matriz_Riesgos[[#This Row],[Valor del Riesgo Residual]]-Matriz_Riesgos[[#This Row],[VRR 2]],"")</f>
        <v>0</v>
      </c>
      <c r="BO46" s="112">
        <f>IFERROR(Matriz_Riesgos[[#This Row],[Frecuencia]]-Matriz_Riesgos[[#This Row],[Frecuencia Residual]],"")</f>
        <v>0</v>
      </c>
      <c r="BP46" s="112">
        <f>IFERROR(Matriz_Riesgos[[#This Row],[Impacto]]-Matriz_Riesgos[[#This Row],[Impacto Residual]],"")</f>
        <v>0</v>
      </c>
      <c r="BQ46" s="112">
        <f>IFERROR(Matriz_Riesgos[[#This Row],[Valor del Riesgo Inherente]]-Matriz_Riesgos[[#This Row],[Valor del Riesgo Residual]],"")</f>
        <v>0</v>
      </c>
      <c r="BR46" s="4"/>
      <c r="BS46" s="4"/>
      <c r="BT46" s="4"/>
      <c r="BU46" s="4"/>
      <c r="BV46" s="4"/>
      <c r="BW46" s="4"/>
      <c r="BX46" s="4"/>
      <c r="BY46" s="4"/>
      <c r="BZ46" s="4"/>
      <c r="CA46" s="4"/>
      <c r="CB46" s="4"/>
      <c r="CC46" s="4"/>
      <c r="CD46" s="4"/>
    </row>
    <row r="47" spans="1:75" s="113" customFormat="1" ht="132">
      <c r="A47" s="101">
        <v>46</v>
      </c>
      <c r="B47" s="102" t="inlineStr">
        <is>
          <t>RCUMP-CONTROLPATRO-46</t>
        </is>
      </c>
      <c r="C47" s="103" t="s">
        <v>520</v>
      </c>
      <c r="D47" s="104"/>
      <c r="E47" s="104" t="s">
        <v>391</v>
      </c>
      <c r="F47" s="103" t="s">
        <v>288</v>
      </c>
      <c r="G47" s="105"/>
      <c r="H47" s="103" t="s">
        <v>525</v>
      </c>
      <c r="I47" s="144" t="s">
        <v>526</v>
      </c>
      <c r="J47" s="104">
        <v>2</v>
      </c>
      <c r="K47" s="104">
        <v>3</v>
      </c>
      <c r="L47" s="102">
        <f>IF((Matriz_Riesgos[[#This Row],[Frecuencia]]+Matriz_Riesgos[[#This Row],[Impacto]]-1)=-1,"",Matriz_Riesgos[[#This Row],[Frecuencia]]+Matriz_Riesgos[[#This Row],[Impacto]]-1)</f>
        <v>4</v>
      </c>
      <c r="M47" s="102" t="str">
        <f>IFERROR(VLOOKUP(Matriz_Riesgos[[#This Row],[Valor del Riesgo Inherente]],t_nivel_riesgo[],2,FALSE), "")</f>
        <v>Riesgo bajo</v>
      </c>
      <c r="N47" s="103" t="s">
        <v>288</v>
      </c>
      <c r="O47" s="104" t="s">
        <v>190</v>
      </c>
      <c r="P47" s="103" t="s">
        <v>527</v>
      </c>
      <c r="Q47" s="106"/>
      <c r="R47" s="106"/>
      <c r="S47" s="106"/>
      <c r="T47" s="107" t="s">
        <v>528</v>
      </c>
      <c r="U47" s="108"/>
      <c r="V47" s="109"/>
      <c r="W47" s="110"/>
      <c r="X47" s="103"/>
      <c r="Y47" s="108"/>
      <c r="Z47" s="102"/>
      <c r="AA47" s="110"/>
      <c r="AB47" s="103"/>
      <c r="AC47" s="108"/>
      <c r="AD47" s="109"/>
      <c r="AE47" s="110"/>
      <c r="AF47" s="104"/>
      <c r="AG47" s="111">
        <f>IF(AND(T47="",X47="",AB47=""),"",('Otras Tablas'!$B$3*IF(W47="",0,W47)+'Otras Tablas'!$B$4*IF(AA47="",0,AA47)+'Otras Tablas'!$B$5*IF(AE47="",0,AE47)))</f>
      </c>
      <c r="AH47" s="102" t="str">
        <f>IF(Matriz_Riesgos[[#This Row],[Riesgo Inherente]]="","",Matriz_Riesgos[[#This Row],[Riesgo Inherente]])</f>
        <v>Vinculación y operación de varios clientes aparentemente independientes que en realidad están relacionados estructural o económicamente, sin aplicación de controles de debida diligencia ni análisis de vinculación</v>
      </c>
      <c r="AI47"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2</v>
      </c>
      <c r="AJ47"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3</v>
      </c>
      <c r="AK47" s="102">
        <f>IFERROR(ROUND(MAX(1,Matriz_Riesgos[[#This Row],[Valor del Riesgo Inherente]]*(1 - Matriz_Riesgos[[#This Row],[Efectividad Total Ponderada de los Controles]])),0), "")</f>
        <v>4</v>
      </c>
      <c r="AL47" s="102" t="str">
        <f>IFERROR(VLOOKUP(Matriz_Riesgos[[#This Row],[Valor del Riesgo Residual]],t_nivel_riesgo[],2,FALSE),"")</f>
        <v>Riesgo bajo</v>
      </c>
      <c r="AM47" s="104" t="s">
        <v>197</v>
      </c>
      <c r="AN47" s="105"/>
      <c r="AO47" s="103"/>
      <c r="AP47" s="103"/>
      <c r="AQ47" s="103"/>
      <c r="AR47" s="103"/>
      <c r="AS47" s="103"/>
      <c r="AT47" s="103"/>
      <c r="AU47" s="103"/>
      <c r="AV47" s="103"/>
      <c r="AW47" s="103"/>
      <c r="AX47" s="112">
        <f>IFERROR((1-Matriz_Riesgos[[#This Row],[Efectividad Total Ponderada de los Controles]])*Matriz_Riesgos[[#This Row],[Frecuencia]],"")</f>
        <v>2</v>
      </c>
      <c r="AY47" s="112">
        <f>IFERROR((1-Matriz_Riesgos[[#This Row],[Efectividad Total Ponderada de los Controles]])*Matriz_Riesgos[[#This Row],[Impacto]],"")</f>
        <v>3</v>
      </c>
      <c r="AZ47" s="112">
        <f>IFERROR(Matriz_Riesgos[[#This Row],[Valor del Riesgo Residual]] + 1, "")</f>
        <v>5</v>
      </c>
      <c r="BA47" s="112">
        <f>IFERROR(MAX(1, ROUNDDOWN(Matriz_Riesgos[[#This Row],[Frecuencia Residual (AUX)]],0)),"")</f>
        <v>2</v>
      </c>
      <c r="BB47" s="112">
        <f>IFERROR(MAX(1, ROUNDDOWN(Matriz_Riesgos[[#This Row],[Impacto Residual (AUX)]],0)),"")</f>
        <v>3</v>
      </c>
      <c r="BC47" s="112">
        <f>IF(Matriz_Riesgos[[#This Row],[Frecuencia]]="","",Matriz_Riesgos[[#This Row],[Frecuencia]])</f>
        <v>2</v>
      </c>
      <c r="BD47" s="112">
        <f>IF(Matriz_Riesgos[[#This Row],[Impacto]]="","",Matriz_Riesgos[[#This Row],[Impacto]])</f>
        <v>3</v>
      </c>
      <c r="BE47" s="112">
        <f>IF(OR(Matriz_Riesgos[[#This Row],[Tope F (AUX)]]="",Matriz_Riesgos[[#This Row],[F_base (AUX)]]=""),"",MAX(0,Matriz_Riesgos[[#This Row],[Tope F (AUX)]]-Matriz_Riesgos[[#This Row],[F_base (AUX)]]))</f>
        <v>0</v>
      </c>
      <c r="BF47" s="112">
        <f>IF(OR(Matriz_Riesgos[[#This Row],[Tope I (AUX)]]="",Matriz_Riesgos[[#This Row],[I_base (AUX)]]=""),"",MAX(0,Matriz_Riesgos[[#This Row],[Tope I (AUX)]]-Matriz_Riesgos[[#This Row],[I_base (AUX)]]))</f>
        <v>0</v>
      </c>
      <c r="BG47" s="112">
        <f>IF(OR(Matriz_Riesgos[[#This Row],[Suma Residual redondeada (AUX)]]="",Matriz_Riesgos[[#This Row],[F_base (AUX)]]="",Matriz_Riesgos[[#This Row],[I_base (AUX)]]=""),"",MAX(0,Matriz_Riesgos[[#This Row],[Suma Residual redondeada (AUX)]]-(Matriz_Riesgos[[#This Row],[F_base (AUX)]]+Matriz_Riesgos[[#This Row],[I_base (AUX)]])))</f>
        <v>0</v>
      </c>
      <c r="BH47"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47"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47" s="112">
        <f>IF(OR(Matriz_Riesgos[[#This Row],[Resto (AUX)]]="",Matriz_Riesgos[[#This Row],[Capacidad F (AUX)]]="",Matriz_Riesgos[[#This Row],[Inc_I (AUX)]]=""),"",MIN(Matriz_Riesgos[[#This Row],[Capacidad F (AUX)]], MAX(0,Matriz_Riesgos[[#This Row],[Resto (AUX)]]-Matriz_Riesgos[[#This Row],[Inc_I (AUX)]])))</f>
        <v>0</v>
      </c>
      <c r="BK47" s="112">
        <f>IFERROR(MAX(ROUND(Matriz_Riesgos[[#This Row],[Frecuencia Residual (AUX)]]+Matriz_Riesgos[[#This Row],[Impacto Residual (AUX)]]-1+Matriz_Riesgos[[#This Row],[Efectividad Total Ponderada de los Controles]],0),1),"")</f>
        <v>4</v>
      </c>
      <c r="BL47" s="112">
        <f>IFERROR(Matriz_Riesgos[[#This Row],[Valor del Riesgo Residual]]-Matriz_Riesgos[[#This Row],[Valor del Riesgo Residual (AUX)]],"")</f>
        <v>0</v>
      </c>
      <c r="BM47" s="112">
        <f>IFERROR(Matriz_Riesgos[[#This Row],[Frecuencia Residual]]+Matriz_Riesgos[[#This Row],[Impacto Residual]]-1,"")</f>
        <v>4</v>
      </c>
      <c r="BN47" s="112">
        <f>IFERROR(Matriz_Riesgos[[#This Row],[Valor del Riesgo Residual]]-Matriz_Riesgos[[#This Row],[VRR 2]],"")</f>
        <v>0</v>
      </c>
      <c r="BO47" s="112">
        <f>IFERROR(Matriz_Riesgos[[#This Row],[Frecuencia]]-Matriz_Riesgos[[#This Row],[Frecuencia Residual]],"")</f>
        <v>0</v>
      </c>
      <c r="BP47" s="112">
        <f>IFERROR(Matriz_Riesgos[[#This Row],[Impacto]]-Matriz_Riesgos[[#This Row],[Impacto Residual]],"")</f>
        <v>0</v>
      </c>
      <c r="BQ47" s="112">
        <f>IFERROR(Matriz_Riesgos[[#This Row],[Valor del Riesgo Inherente]]-Matriz_Riesgos[[#This Row],[Valor del Riesgo Residual]],"")</f>
        <v>0</v>
      </c>
      <c r="BR47" s="4"/>
      <c r="BS47" s="4"/>
      <c r="BT47" s="4"/>
      <c r="BU47" s="4"/>
      <c r="BV47" s="4"/>
      <c r="BW47" s="4"/>
      <c r="BX47" s="4"/>
      <c r="BY47" s="4"/>
      <c r="BZ47" s="4"/>
      <c r="CA47" s="4"/>
      <c r="CB47" s="4"/>
      <c r="CC47" s="4"/>
      <c r="CD47" s="4"/>
    </row>
    <row r="48" spans="1:75" s="113" customFormat="1" ht="168">
      <c r="A48" s="101">
        <v>47</v>
      </c>
      <c r="B48" s="102" t="inlineStr">
        <is>
          <t>RCUMP-CONTROLPATRO-47</t>
        </is>
      </c>
      <c r="C48" s="103" t="s">
        <v>520</v>
      </c>
      <c r="D48" s="104"/>
      <c r="E48" s="104" t="s">
        <v>391</v>
      </c>
      <c r="F48" s="103" t="s">
        <v>288</v>
      </c>
      <c r="G48" s="105"/>
      <c r="H48" s="103" t="s">
        <v>529</v>
      </c>
      <c r="I48" s="144" t="s">
        <v>530</v>
      </c>
      <c r="J48" s="104">
        <v>2</v>
      </c>
      <c r="K48" s="104">
        <v>3</v>
      </c>
      <c r="L48" s="102">
        <f>IF((Matriz_Riesgos[[#This Row],[Frecuencia]]+Matriz_Riesgos[[#This Row],[Impacto]]-1)=-1,"",Matriz_Riesgos[[#This Row],[Frecuencia]]+Matriz_Riesgos[[#This Row],[Impacto]]-1)</f>
        <v>4</v>
      </c>
      <c r="M48" s="102" t="str">
        <f>IFERROR(VLOOKUP(Matriz_Riesgos[[#This Row],[Valor del Riesgo Inherente]],t_nivel_riesgo[],2,FALSE), "")</f>
        <v>Riesgo bajo</v>
      </c>
      <c r="N48" s="103" t="s">
        <v>288</v>
      </c>
      <c r="O48" s="104" t="s">
        <v>190</v>
      </c>
      <c r="P48" s="103" t="s">
        <v>531</v>
      </c>
      <c r="Q48" s="106"/>
      <c r="R48" s="106"/>
      <c r="S48" s="106"/>
      <c r="T48" s="107" t="s">
        <v>532</v>
      </c>
      <c r="U48" s="108"/>
      <c r="V48" s="109"/>
      <c r="W48" s="110"/>
      <c r="X48" s="103"/>
      <c r="Y48" s="108"/>
      <c r="Z48" s="102"/>
      <c r="AA48" s="110"/>
      <c r="AB48" s="103"/>
      <c r="AC48" s="108"/>
      <c r="AD48" s="109"/>
      <c r="AE48" s="110"/>
      <c r="AF48" s="104"/>
      <c r="AG48" s="111">
        <f>IF(AND(T48="",X48="",AB48=""),"",('Otras Tablas'!$B$3*IF(W48="",0,W48)+'Otras Tablas'!$B$4*IF(AA48="",0,AA48)+'Otras Tablas'!$B$5*IF(AE48="",0,AE48)))</f>
      </c>
      <c r="AH48" s="102" t="str">
        <f>IF(Matriz_Riesgos[[#This Row],[Riesgo Inherente]]="","",Matriz_Riesgos[[#This Row],[Riesgo Inherente]])</f>
        <v>Cliente activo con documentación vencida o información desactualizada que continúa operando sin completar el proceso de actualización requerido</v>
      </c>
      <c r="AI48"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2</v>
      </c>
      <c r="AJ48"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3</v>
      </c>
      <c r="AK48" s="102">
        <f>IFERROR(ROUND(MAX(1,Matriz_Riesgos[[#This Row],[Valor del Riesgo Inherente]]*(1 - Matriz_Riesgos[[#This Row],[Efectividad Total Ponderada de los Controles]])),0), "")</f>
        <v>4</v>
      </c>
      <c r="AL48" s="102" t="str">
        <f>IFERROR(VLOOKUP(Matriz_Riesgos[[#This Row],[Valor del Riesgo Residual]],t_nivel_riesgo[],2,FALSE),"")</f>
        <v>Riesgo bajo</v>
      </c>
      <c r="AM48" s="104" t="s">
        <v>197</v>
      </c>
      <c r="AN48" s="105"/>
      <c r="AO48" s="103"/>
      <c r="AP48" s="103"/>
      <c r="AQ48" s="103"/>
      <c r="AR48" s="103"/>
      <c r="AS48" s="103"/>
      <c r="AT48" s="103"/>
      <c r="AU48" s="103"/>
      <c r="AV48" s="103"/>
      <c r="AW48" s="103"/>
      <c r="AX48" s="112">
        <f>IFERROR((1-Matriz_Riesgos[[#This Row],[Efectividad Total Ponderada de los Controles]])*Matriz_Riesgos[[#This Row],[Frecuencia]],"")</f>
        <v>2</v>
      </c>
      <c r="AY48" s="112">
        <f>IFERROR((1-Matriz_Riesgos[[#This Row],[Efectividad Total Ponderada de los Controles]])*Matriz_Riesgos[[#This Row],[Impacto]],"")</f>
        <v>3</v>
      </c>
      <c r="AZ48" s="112">
        <f>IFERROR(Matriz_Riesgos[[#This Row],[Valor del Riesgo Residual]] + 1, "")</f>
        <v>5</v>
      </c>
      <c r="BA48" s="112">
        <f>IFERROR(MAX(1, ROUNDDOWN(Matriz_Riesgos[[#This Row],[Frecuencia Residual (AUX)]],0)),"")</f>
        <v>2</v>
      </c>
      <c r="BB48" s="112">
        <f>IFERROR(MAX(1, ROUNDDOWN(Matriz_Riesgos[[#This Row],[Impacto Residual (AUX)]],0)),"")</f>
        <v>3</v>
      </c>
      <c r="BC48" s="112">
        <f>IF(Matriz_Riesgos[[#This Row],[Frecuencia]]="","",Matriz_Riesgos[[#This Row],[Frecuencia]])</f>
        <v>2</v>
      </c>
      <c r="BD48" s="112">
        <f>IF(Matriz_Riesgos[[#This Row],[Impacto]]="","",Matriz_Riesgos[[#This Row],[Impacto]])</f>
        <v>3</v>
      </c>
      <c r="BE48" s="112">
        <f>IF(OR(Matriz_Riesgos[[#This Row],[Tope F (AUX)]]="",Matriz_Riesgos[[#This Row],[F_base (AUX)]]=""),"",MAX(0,Matriz_Riesgos[[#This Row],[Tope F (AUX)]]-Matriz_Riesgos[[#This Row],[F_base (AUX)]]))</f>
        <v>0</v>
      </c>
      <c r="BF48" s="112">
        <f>IF(OR(Matriz_Riesgos[[#This Row],[Tope I (AUX)]]="",Matriz_Riesgos[[#This Row],[I_base (AUX)]]=""),"",MAX(0,Matriz_Riesgos[[#This Row],[Tope I (AUX)]]-Matriz_Riesgos[[#This Row],[I_base (AUX)]]))</f>
        <v>0</v>
      </c>
      <c r="BG48" s="112">
        <f>IF(OR(Matriz_Riesgos[[#This Row],[Suma Residual redondeada (AUX)]]="",Matriz_Riesgos[[#This Row],[F_base (AUX)]]="",Matriz_Riesgos[[#This Row],[I_base (AUX)]]=""),"",MAX(0,Matriz_Riesgos[[#This Row],[Suma Residual redondeada (AUX)]]-(Matriz_Riesgos[[#This Row],[F_base (AUX)]]+Matriz_Riesgos[[#This Row],[I_base (AUX)]])))</f>
        <v>0</v>
      </c>
      <c r="BH48"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48"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48" s="112">
        <f>IF(OR(Matriz_Riesgos[[#This Row],[Resto (AUX)]]="",Matriz_Riesgos[[#This Row],[Capacidad F (AUX)]]="",Matriz_Riesgos[[#This Row],[Inc_I (AUX)]]=""),"",MIN(Matriz_Riesgos[[#This Row],[Capacidad F (AUX)]], MAX(0,Matriz_Riesgos[[#This Row],[Resto (AUX)]]-Matriz_Riesgos[[#This Row],[Inc_I (AUX)]])))</f>
        <v>0</v>
      </c>
      <c r="BK48" s="112">
        <f>IFERROR(MAX(ROUND(Matriz_Riesgos[[#This Row],[Frecuencia Residual (AUX)]]+Matriz_Riesgos[[#This Row],[Impacto Residual (AUX)]]-1+Matriz_Riesgos[[#This Row],[Efectividad Total Ponderada de los Controles]],0),1),"")</f>
        <v>4</v>
      </c>
      <c r="BL48" s="112">
        <f>IFERROR(Matriz_Riesgos[[#This Row],[Valor del Riesgo Residual]]-Matriz_Riesgos[[#This Row],[Valor del Riesgo Residual (AUX)]],"")</f>
        <v>0</v>
      </c>
      <c r="BM48" s="112">
        <f>IFERROR(Matriz_Riesgos[[#This Row],[Frecuencia Residual]]+Matriz_Riesgos[[#This Row],[Impacto Residual]]-1,"")</f>
        <v>4</v>
      </c>
      <c r="BN48" s="112">
        <f>IFERROR(Matriz_Riesgos[[#This Row],[Valor del Riesgo Residual]]-Matriz_Riesgos[[#This Row],[VRR 2]],"")</f>
        <v>0</v>
      </c>
      <c r="BO48" s="112">
        <f>IFERROR(Matriz_Riesgos[[#This Row],[Frecuencia]]-Matriz_Riesgos[[#This Row],[Frecuencia Residual]],"")</f>
        <v>0</v>
      </c>
      <c r="BP48" s="112">
        <f>IFERROR(Matriz_Riesgos[[#This Row],[Impacto]]-Matriz_Riesgos[[#This Row],[Impacto Residual]],"")</f>
        <v>0</v>
      </c>
      <c r="BQ48" s="112">
        <f>IFERROR(Matriz_Riesgos[[#This Row],[Valor del Riesgo Inherente]]-Matriz_Riesgos[[#This Row],[Valor del Riesgo Residual]],"")</f>
        <v>0</v>
      </c>
      <c r="BR48" s="4"/>
      <c r="BS48" s="4"/>
      <c r="BT48" s="4"/>
      <c r="BU48" s="4"/>
      <c r="BV48" s="4"/>
      <c r="BW48" s="4"/>
      <c r="BX48" s="4"/>
      <c r="BY48" s="4"/>
      <c r="BZ48" s="4"/>
      <c r="CA48" s="4"/>
      <c r="CB48" s="4"/>
      <c r="CC48" s="4"/>
      <c r="CD48" s="4"/>
    </row>
    <row r="49" spans="1:75" ht="180" customHeight="1">
      <c r="A49" s="101">
        <v>48</v>
      </c>
      <c r="B49" s="37" t="inlineStr">
        <is>
          <t>RCUMP-CONTROLPATRO-48</t>
        </is>
      </c>
      <c r="C49" s="103" t="s">
        <v>520</v>
      </c>
      <c r="D49" s="104"/>
      <c r="E49" s="104" t="s">
        <v>391</v>
      </c>
      <c r="F49" s="103" t="s">
        <v>288</v>
      </c>
      <c r="G49" s="6"/>
      <c r="H49" s="103" t="s">
        <v>533</v>
      </c>
      <c r="I49" s="144" t="s">
        <v>534</v>
      </c>
      <c r="J49" s="104">
        <v>3</v>
      </c>
      <c r="K49" s="104">
        <v>5</v>
      </c>
      <c r="L49" s="102">
        <f>IF((Matriz_Riesgos[[#This Row],[Frecuencia]]+Matriz_Riesgos[[#This Row],[Impacto]]-1)=-1,"",Matriz_Riesgos[[#This Row],[Frecuencia]]+Matriz_Riesgos[[#This Row],[Impacto]]-1)</f>
        <v>7</v>
      </c>
      <c r="M49" s="102" t="str">
        <f>IFERROR(VLOOKUP(Matriz_Riesgos[[#This Row],[Valor del Riesgo Inherente]],t_nivel_riesgo[],2,FALSE), "")</f>
        <v>Riesgo Alto</v>
      </c>
      <c r="N49" s="103" t="s">
        <v>288</v>
      </c>
      <c r="O49" s="104" t="s">
        <v>190</v>
      </c>
      <c r="P49" s="103" t="s">
        <v>531</v>
      </c>
      <c r="Q49" s="64"/>
      <c r="R49" s="64"/>
      <c r="S49" s="64"/>
      <c r="T49" s="107" t="s">
        <v>535</v>
      </c>
      <c r="U49" s="55"/>
      <c r="V49" s="56"/>
      <c r="W49" s="57"/>
      <c r="X49" s="4"/>
      <c r="Y49" s="55"/>
      <c r="Z49" s="37"/>
      <c r="AA49" s="57"/>
      <c r="AB49" s="4"/>
      <c r="AC49" s="55"/>
      <c r="AD49" s="56"/>
      <c r="AE49" s="57"/>
      <c r="AF49" s="25"/>
      <c r="AG49" s="66">
        <f>IF(AND(T49="",X49="",AB49=""),"",('Otras Tablas'!$B$3*IF(W49="",0,W49)+'Otras Tablas'!$B$4*IF(AA49="",0,AA49)+'Otras Tablas'!$B$5*IF(AE49="",0,AE49)))</f>
      </c>
      <c r="AH49" s="102" t="str">
        <f>IF(Matriz_Riesgos[[#This Row],[Riesgo Inherente]]="","",Matriz_Riesgos[[#This Row],[Riesgo Inherente]])</f>
        <v>Detección posterior a la vinculación de que un cliente, socio, beneficiario final o representante legal se encuentra reportado en listas de sanciones, listas vinculantes o listas de monitoreo</v>
      </c>
      <c r="AI49"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v>3</v>
      </c>
      <c r="AJ49"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v>5</v>
      </c>
      <c r="AK49" s="102">
        <f>IFERROR(ROUND(MAX(1,Matriz_Riesgos[[#This Row],[Valor del Riesgo Inherente]]*(1 - Matriz_Riesgos[[#This Row],[Efectividad Total Ponderada de los Controles]])),0), "")</f>
        <v>7</v>
      </c>
      <c r="AL49" s="102" t="str">
        <f>IFERROR(VLOOKUP(Matriz_Riesgos[[#This Row],[Valor del Riesgo Residual]],t_nivel_riesgo[],2,FALSE),"")</f>
        <v>Riesgo Alto</v>
      </c>
      <c r="AM49" s="25" t="s">
        <v>197</v>
      </c>
      <c r="AN49" s="6"/>
      <c r="AO49" s="4"/>
      <c r="AP49" s="4"/>
      <c r="AQ49" s="4"/>
      <c r="AR49" s="4"/>
      <c r="AS49" s="4"/>
      <c r="AT49" s="4"/>
      <c r="AU49" s="4"/>
      <c r="AV49" s="4"/>
      <c r="AW49" s="4"/>
      <c r="AX49" s="96">
        <f>IFERROR((1-Matriz_Riesgos[[#This Row],[Efectividad Total Ponderada de los Controles]])*Matriz_Riesgos[[#This Row],[Frecuencia]],"")</f>
        <v>3</v>
      </c>
      <c r="AY49" s="96">
        <f>IFERROR((1-Matriz_Riesgos[[#This Row],[Efectividad Total Ponderada de los Controles]])*Matriz_Riesgos[[#This Row],[Impacto]],"")</f>
        <v>5</v>
      </c>
      <c r="AZ49" s="96">
        <f>IFERROR(Matriz_Riesgos[[#This Row],[Valor del Riesgo Residual]] + 1, "")</f>
        <v>8</v>
      </c>
      <c r="BA49" s="96">
        <f>IFERROR(MAX(1, ROUNDDOWN(Matriz_Riesgos[[#This Row],[Frecuencia Residual (AUX)]],0)),"")</f>
        <v>3</v>
      </c>
      <c r="BB49" s="96">
        <f>IFERROR(MAX(1, ROUNDDOWN(Matriz_Riesgos[[#This Row],[Impacto Residual (AUX)]],0)),"")</f>
        <v>5</v>
      </c>
      <c r="BC49" s="96">
        <f>IF(Matriz_Riesgos[[#This Row],[Frecuencia]]="","",Matriz_Riesgos[[#This Row],[Frecuencia]])</f>
        <v>3</v>
      </c>
      <c r="BD49" s="96">
        <f>IF(Matriz_Riesgos[[#This Row],[Impacto]]="","",Matriz_Riesgos[[#This Row],[Impacto]])</f>
        <v>5</v>
      </c>
      <c r="BE49" s="96">
        <f>IF(OR(Matriz_Riesgos[[#This Row],[Tope F (AUX)]]="",Matriz_Riesgos[[#This Row],[F_base (AUX)]]=""),"",MAX(0,Matriz_Riesgos[[#This Row],[Tope F (AUX)]]-Matriz_Riesgos[[#This Row],[F_base (AUX)]]))</f>
        <v>0</v>
      </c>
      <c r="BF49" s="96">
        <f>IF(OR(Matriz_Riesgos[[#This Row],[Tope I (AUX)]]="",Matriz_Riesgos[[#This Row],[I_base (AUX)]]=""),"",MAX(0,Matriz_Riesgos[[#This Row],[Tope I (AUX)]]-Matriz_Riesgos[[#This Row],[I_base (AUX)]]))</f>
        <v>0</v>
      </c>
      <c r="BG49" s="96">
        <f>IF(OR(Matriz_Riesgos[[#This Row],[Suma Residual redondeada (AUX)]]="",Matriz_Riesgos[[#This Row],[F_base (AUX)]]="",Matriz_Riesgos[[#This Row],[I_base (AUX)]]=""),"",MAX(0,Matriz_Riesgos[[#This Row],[Suma Residual redondeada (AUX)]]-(Matriz_Riesgos[[#This Row],[F_base (AUX)]]+Matriz_Riesgos[[#This Row],[I_base (AUX)]])))</f>
        <v>0</v>
      </c>
      <c r="BH49" s="96">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49" s="96">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49" s="96">
        <f>IF(OR(Matriz_Riesgos[[#This Row],[Resto (AUX)]]="",Matriz_Riesgos[[#This Row],[Capacidad F (AUX)]]="",Matriz_Riesgos[[#This Row],[Inc_I (AUX)]]=""),"",MIN(Matriz_Riesgos[[#This Row],[Capacidad F (AUX)]], MAX(0,Matriz_Riesgos[[#This Row],[Resto (AUX)]]-Matriz_Riesgos[[#This Row],[Inc_I (AUX)]])))</f>
        <v>0</v>
      </c>
      <c r="BK49" s="96">
        <f>IFERROR(MAX(ROUND(Matriz_Riesgos[[#This Row],[Frecuencia Residual (AUX)]]+Matriz_Riesgos[[#This Row],[Impacto Residual (AUX)]]-1+Matriz_Riesgos[[#This Row],[Efectividad Total Ponderada de los Controles]],0),1),"")</f>
        <v>7</v>
      </c>
      <c r="BL49" s="96">
        <f>IFERROR(Matriz_Riesgos[[#This Row],[Valor del Riesgo Residual]]-Matriz_Riesgos[[#This Row],[Valor del Riesgo Residual (AUX)]],"")</f>
        <v>0</v>
      </c>
      <c r="BM49" s="96">
        <f>IFERROR(Matriz_Riesgos[[#This Row],[Frecuencia Residual]]+Matriz_Riesgos[[#This Row],[Impacto Residual]]-1,"")</f>
        <v>7</v>
      </c>
      <c r="BN49" s="96">
        <f>IFERROR(Matriz_Riesgos[[#This Row],[Valor del Riesgo Residual]]-Matriz_Riesgos[[#This Row],[VRR 2]],"")</f>
        <v>0</v>
      </c>
      <c r="BO49" s="96">
        <f>IFERROR(Matriz_Riesgos[[#This Row],[Frecuencia]]-Matriz_Riesgos[[#This Row],[Frecuencia Residual]],"")</f>
        <v>0</v>
      </c>
      <c r="BP49" s="96">
        <f>IFERROR(Matriz_Riesgos[[#This Row],[Impacto]]-Matriz_Riesgos[[#This Row],[Impacto Residual]],"")</f>
        <v>0</v>
      </c>
      <c r="BQ49" s="96">
        <f>IFERROR(Matriz_Riesgos[[#This Row],[Valor del Riesgo Inherente]]-Matriz_Riesgos[[#This Row],[Valor del Riesgo Residual]],"")</f>
        <v>0</v>
      </c>
      <c r="BR49" s="4"/>
      <c r="BS49" s="4"/>
      <c r="BT49" s="4"/>
      <c r="BU49" s="9"/>
      <c r="BV49" s="9"/>
      <c r="BW49" s="9"/>
      <c r="BX49" s="4"/>
      <c r="BY49" s="4"/>
      <c r="BZ49" s="4"/>
      <c r="CA49" s="4"/>
      <c r="CB49" s="4"/>
      <c r="CC49" s="4"/>
      <c r="CD49" s="4"/>
    </row>
    <row r="50" spans="1:75" s="113" customFormat="1" ht="166.5" customHeight="1">
      <c r="A50" s="114">
        <v>49</v>
      </c>
      <c r="B50" s="102" t="inlineStr">
        <is>
          <t>ROP-CUMP-49</t>
        </is>
      </c>
      <c r="C50" s="103" t="inlineStr">
        <is>
          <t>Sección de Cumplimiento</t>
        </is>
      </c>
      <c r="D50" s="104" t="inlineStr">
        <is>
          <t>Sección de Cumplimiento</t>
        </is>
      </c>
      <c r="E50" s="104" t="inlineStr">
        <is>
          <t>Operativo</t>
        </is>
      </c>
      <c r="F50" s="103" t="inlineStr">
        <is>
          <t>Programa de Prevencion de LAFT</t>
        </is>
      </c>
      <c r="G50" s="105" t="inlineStr">
        <is>
          <t xml:space="preserve">Suficiencia y sostenibilidad del Régimen de Invalidez, Vejez y Muerte.
Entrega oportuna de los beneficios a los asegurados.</t>
        </is>
      </c>
      <c r="H50" s="103" t="inlineStr">
        <is>
          <t xml:space="preserve">
Incumplimiento a normativa de la CNBS por no tener implementado el Programa de Prevencion de LAFT completo.</t>
        </is>
      </c>
      <c r="I50" s="144" t="inlineStr">
        <is>
          <t xml:space="preserve">Descripción:  Por requerimiento de la CNBS se debe implementar un Programa de Prevencion de LAFT, el mismo se encuentra en un 98% implementado.
Causas: Aun se encuentran en proceso de implementacion algunos procedimientos para lograr alcanzar el 100% dado que requiere tiempo adicional y las mismas dependen de otras areas.
Efecto: Posible Multa por el ente regulador</t>
        </is>
      </c>
      <c r="J50" s="104">
        <v>2</v>
      </c>
      <c r="K50" s="104">
        <v>4</v>
      </c>
      <c r="L50" s="102">
        <f>IF((Matriz_Riesgos[[#This Row],[Frecuencia]]+Matriz_Riesgos[[#This Row],[Impacto]]-1)=-1,"",Matriz_Riesgos[[#This Row],[Frecuencia]]+Matriz_Riesgos[[#This Row],[Impacto]]-1)</f>
      </c>
      <c r="M50" s="102" t="str">
        <f>IFERROR(VLOOKUP(Matriz_Riesgos[[#This Row],[Valor del Riesgo Inherente]],t_nivel_riesgo[],2,FALSE), "")</f>
      </c>
      <c r="N50" s="103" t="inlineStr">
        <is>
          <t>Seccion de Cumplimiento</t>
        </is>
      </c>
      <c r="O50" s="104" t="inlineStr">
        <is>
          <t>IVM</t>
        </is>
      </c>
      <c r="P50" s="103" t="inlineStr">
        <is>
          <t>Riesgo de Cumplimiento</t>
        </is>
      </c>
      <c r="Q50" s="106"/>
      <c r="R50" s="106"/>
      <c r="S50" s="106"/>
      <c r="T50" s="107" t="inlineStr">
        <is>
          <t xml:space="preserve">Codigo de Etica de Funcionarios y Empleados del IHSS que incorpora el  tema de la Ley Especial contra el Lavado de Activos  que esta siendo socializado.
Se han aprobado Politicas de Debida Diligencia como Conozca a su Empleado, Conozca a Su Cliente, Politica Conozca a Su proveedor, Politica Para Operar con PEPs </t>
        </is>
      </c>
      <c r="U50" s="108" t="inlineStr">
        <is>
          <t>Moderado</t>
        </is>
      </c>
      <c r="V50" s="102" t="str">
        <f>IFERROR(VLOOKUP(Matriz_Riesgos[[#This Row],[Escala de efectividad de control(es) preventivo(s)]],t_efectividad[],2,FALSE),"")</f>
      </c>
      <c r="W50" s="115" t="str">
        <f>IFERROR(VLOOKUP(Matriz_Riesgos[[#This Row],[Escala de efectividad de control(es) preventivo(s)]],t_efectividad[],3,FALSE),"")</f>
      </c>
      <c r="X50" s="107" t="inlineStr">
        <is>
          <t>Sistema de Datos normativos del patrono.</t>
        </is>
      </c>
      <c r="Y50" s="108" t="inlineStr">
        <is>
          <t>Parcialmente Efectivo</t>
        </is>
      </c>
      <c r="Z50" s="102" t="str">
        <f>IFERROR(VLOOKUP(Matriz_Riesgos[[#This Row],[Escala de efectividad de control(es) detectivo(s)]],t_efectividad[],2,FALSE),"")</f>
      </c>
      <c r="AA50" s="110" t="str">
        <f>IFERROR(VLOOKUP(Matriz_Riesgos[[#This Row],[Escala de efectividad de control(es) detectivo(s)]],t_efectividad[],3,FALSE),"")</f>
      </c>
      <c r="AB50" s="103" t="inlineStr">
        <is>
          <t xml:space="preserve">Politica de Sanciones por incumplimientos al programa de PLAFT, </t>
        </is>
      </c>
      <c r="AC50" s="108" t="inlineStr">
        <is>
          <t>Razonable</t>
        </is>
      </c>
      <c r="AD50" s="102" t="str">
        <f>IFERROR(VLOOKUP(Matriz_Riesgos[[#This Row],[Escala de efectividad de control(es) correctivo(s)]],t_efectividad[],2,FALSE),"")</f>
      </c>
      <c r="AE50" s="115" t="str">
        <f>IFERROR(VLOOKUP(Matriz_Riesgos[[#This Row],[Escala de efectividad de control(es) correctivo(s)]],t_efectividad[],3,FALSE),"")</f>
      </c>
      <c r="AF50" s="104" t="inlineStr">
        <is>
          <t>Semiautomatizado</t>
        </is>
      </c>
      <c r="AG50" s="111">
        <f>IF(AND(T50="",X50="",AB50=""),"",('Otras Tablas'!$B$3*IF(W50="",0,W50)+'Otras Tablas'!$B$4*IF(AA50="",0,AA50)+'Otras Tablas'!$B$5*IF(AE50="",0,AE50)))</f>
      </c>
      <c r="AH50" s="102" t="str">
        <f>IF(Matriz_Riesgos[[#This Row],[Riesgo Inherente]]="","",Matriz_Riesgos[[#This Row],[Riesgo Inherente]])</f>
      </c>
      <c r="AI50"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c>
      <c r="AJ50" s="102">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c>
      <c r="AK50" s="102">
        <f>IFERROR(ROUND(MAX(1,Matriz_Riesgos[[#This Row],[Valor del Riesgo Inherente]]*(1 - Matriz_Riesgos[[#This Row],[Efectividad Total Ponderada de los Controles]])),0), "")</f>
      </c>
      <c r="AL50" s="102" t="str">
        <f>IFERROR(VLOOKUP(Matriz_Riesgos[[#This Row],[Valor del Riesgo Residual]],t_nivel_riesgo[],2,FALSE),"")</f>
      </c>
      <c r="AM50" s="104" t="inlineStr">
        <is>
          <t>Aceptar</t>
        </is>
      </c>
      <c r="AN50" s="105"/>
      <c r="AO50" s="103"/>
      <c r="AP50" s="105"/>
      <c r="AQ50" s="103"/>
      <c r="AR50" s="103"/>
      <c r="AS50" s="103"/>
      <c r="AT50" s="121"/>
      <c r="AU50" s="121"/>
      <c r="AV50" s="103"/>
      <c r="AW50" s="103"/>
      <c r="AX50" s="112">
        <f>IFERROR((1-Matriz_Riesgos[[#This Row],[Efectividad Total Ponderada de los Controles]])*Matriz_Riesgos[[#This Row],[Frecuencia]],"")</f>
        <v>3</v>
      </c>
      <c r="AY50" s="112">
        <f>IFERROR((1-Matriz_Riesgos[[#This Row],[Efectividad Total Ponderada de los Controles]])*Matriz_Riesgos[[#This Row],[Impacto]],"")</f>
        <v>5</v>
      </c>
      <c r="AZ50" s="112">
        <f>IFERROR(Matriz_Riesgos[[#This Row],[Valor del Riesgo Residual]] + 1, "")</f>
        <v>8</v>
      </c>
      <c r="BA50" s="112">
        <f>IFERROR(MAX(1, ROUNDDOWN(Matriz_Riesgos[[#This Row],[Frecuencia Residual (AUX)]],0)),"")</f>
        <v>3</v>
      </c>
      <c r="BB50" s="112">
        <f>IFERROR(MAX(1, ROUNDDOWN(Matriz_Riesgos[[#This Row],[Impacto Residual (AUX)]],0)),"")</f>
        <v>5</v>
      </c>
      <c r="BC50" s="112">
        <f>IF(Matriz_Riesgos[[#This Row],[Frecuencia]]="","",Matriz_Riesgos[[#This Row],[Frecuencia]])</f>
        <v>3</v>
      </c>
      <c r="BD50" s="112">
        <f>IF(Matriz_Riesgos[[#This Row],[Impacto]]="","",Matriz_Riesgos[[#This Row],[Impacto]])</f>
        <v>5</v>
      </c>
      <c r="BE50" s="112">
        <f>IF(OR(Matriz_Riesgos[[#This Row],[Tope F (AUX)]]="",Matriz_Riesgos[[#This Row],[F_base (AUX)]]=""),"",MAX(0,Matriz_Riesgos[[#This Row],[Tope F (AUX)]]-Matriz_Riesgos[[#This Row],[F_base (AUX)]]))</f>
        <v>0</v>
      </c>
      <c r="BF50" s="112">
        <f>IF(OR(Matriz_Riesgos[[#This Row],[Tope I (AUX)]]="",Matriz_Riesgos[[#This Row],[I_base (AUX)]]=""),"",MAX(0,Matriz_Riesgos[[#This Row],[Tope I (AUX)]]-Matriz_Riesgos[[#This Row],[I_base (AUX)]]))</f>
        <v>0</v>
      </c>
      <c r="BG50" s="112">
        <f>IF(OR(Matriz_Riesgos[[#This Row],[Suma Residual redondeada (AUX)]]="",Matriz_Riesgos[[#This Row],[F_base (AUX)]]="",Matriz_Riesgos[[#This Row],[I_base (AUX)]]=""),"",MAX(0,Matriz_Riesgos[[#This Row],[Suma Residual redondeada (AUX)]]-(Matriz_Riesgos[[#This Row],[F_base (AUX)]]+Matriz_Riesgos[[#This Row],[I_base (AUX)]])))</f>
        <v>0</v>
      </c>
      <c r="BH50" s="112">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1</v>
      </c>
      <c r="BI50" s="112">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0</v>
      </c>
      <c r="BJ50" s="112">
        <f>IF(OR(Matriz_Riesgos[[#This Row],[Resto (AUX)]]="",Matriz_Riesgos[[#This Row],[Capacidad F (AUX)]]="",Matriz_Riesgos[[#This Row],[Inc_I (AUX)]]=""),"",MIN(Matriz_Riesgos[[#This Row],[Capacidad F (AUX)]], MAX(0,Matriz_Riesgos[[#This Row],[Resto (AUX)]]-Matriz_Riesgos[[#This Row],[Inc_I (AUX)]])))</f>
        <v>0</v>
      </c>
      <c r="BK50" s="112">
        <f>IFERROR(MAX(ROUND(Matriz_Riesgos[[#This Row],[Frecuencia Residual (AUX)]]+Matriz_Riesgos[[#This Row],[Impacto Residual (AUX)]]-1+Matriz_Riesgos[[#This Row],[Efectividad Total Ponderada de los Controles]],0),1),"")</f>
        <v>7</v>
      </c>
      <c r="BL50" s="112">
        <f>IFERROR(Matriz_Riesgos[[#This Row],[Valor del Riesgo Residual]]-Matriz_Riesgos[[#This Row],[Valor del Riesgo Residual (AUX)]],"")</f>
        <v>0</v>
      </c>
      <c r="BM50" s="112">
        <f>IFERROR(Matriz_Riesgos[[#This Row],[Frecuencia Residual]]+Matriz_Riesgos[[#This Row],[Impacto Residual]]-1,"")</f>
        <v>7</v>
      </c>
      <c r="BN50" s="112">
        <f>IFERROR(Matriz_Riesgos[[#This Row],[Valor del Riesgo Residual]]-Matriz_Riesgos[[#This Row],[VRR 2]],"")</f>
        <v>0</v>
      </c>
      <c r="BO50" s="112">
        <f>IFERROR(Matriz_Riesgos[[#This Row],[Frecuencia]]-Matriz_Riesgos[[#This Row],[Frecuencia Residual]],"")</f>
        <v>0</v>
      </c>
      <c r="BP50" s="112">
        <f>IFERROR(Matriz_Riesgos[[#This Row],[Impacto]]-Matriz_Riesgos[[#This Row],[Impacto Residual]],"")</f>
        <v>0</v>
      </c>
      <c r="BQ50" s="112">
        <f>IFERROR(Matriz_Riesgos[[#This Row],[Valor del Riesgo Inherente]]-Matriz_Riesgos[[#This Row],[Valor del Riesgo Residual]],"")</f>
        <v>0</v>
      </c>
      <c r="BR50" s="103"/>
      <c r="BS50" s="103"/>
      <c r="BT50" s="103"/>
      <c r="BU50" s="103"/>
      <c r="BV50" s="103"/>
      <c r="BW50" s="103"/>
      <c r="BX50" s="103"/>
      <c r="BY50" s="103"/>
      <c r="BZ50" s="103"/>
      <c r="CA50" s="103"/>
      <c r="CB50" s="103"/>
      <c r="CC50" s="103"/>
      <c r="CD50" s="103"/>
    </row>
    <row r="51" spans="1:75" ht="141.75" customHeight="1">
      <c r="A51" s="33">
        <v>50</v>
      </c>
      <c r="B51" s="37" t="inlineStr">
        <is>
          <t>ROP-CUMP-50</t>
        </is>
      </c>
      <c r="C51" s="4" t="inlineStr">
        <is>
          <t>Sección de Cumplimiento</t>
        </is>
      </c>
      <c r="D51" s="25" t="inlineStr">
        <is>
          <t>Sección de Cumplimiento</t>
        </is>
      </c>
      <c r="E51" s="36" t="inlineStr">
        <is>
          <t>Operativo</t>
        </is>
      </c>
      <c r="F51" s="4" t="inlineStr">
        <is>
          <t xml:space="preserve">
 Proceso de  Gestión de Alertas generadas por el DNP en relación a Listas de Cautela  </t>
        </is>
      </c>
      <c r="G51" s="6" t="inlineStr">
        <is>
          <t xml:space="preserve">Suficiencia y sostenibilidad del Régimen de Invalidez, Vejez y Muerte.
Entrega oportuna de los beneficios a los asegurados.</t>
        </is>
      </c>
      <c r="H51" s="4" t="inlineStr">
        <is>
          <t>Fallas en el software de Datos normativos de patronos</t>
        </is>
      </c>
      <c r="I51" s="98" t="inlineStr">
        <is>
          <t xml:space="preserve">Descripción:  La falta de sistema de datos normativos de patronos genera incumplimeinto a los procedimientos de gestion de riesgos de lavado de activos entre ellos: generacion de reporteria, calificacion de riesgos, no se puede realizar el proceso comparativo entre listas de cautelas y base de datos patronal.
Causas: Fallas en el sistema de Datos normativos de patronos.
Efecto: Retrasos en el cumplimiento de los procesos, posobles sanciones del ente regulador.</t>
        </is>
      </c>
      <c r="J51" s="25">
        <v>1</v>
      </c>
      <c r="K51" s="25">
        <v>4</v>
      </c>
      <c r="L51" s="37" t="str">
        <f>IF((Matriz_Riesgos[[#This Row],[Frecuencia]]+Matriz_Riesgos[[#This Row],[Impacto]]-1)=-1,"",Matriz_Riesgos[[#This Row],[Frecuencia]]+Matriz_Riesgos[[#This Row],[Impacto]]-1)</f>
      </c>
      <c r="M51" s="37" t="str">
        <f>IFERROR(VLOOKUP(Matriz_Riesgos[[#This Row],[Valor del Riesgo Inherente]],t_nivel_riesgo[],2,FALSE), "")</f>
      </c>
      <c r="N51" s="4" t="inlineStr">
        <is>
          <t>GTIC</t>
        </is>
      </c>
      <c r="O51" s="25" t="inlineStr">
        <is>
          <t>IVM</t>
        </is>
      </c>
      <c r="P51" s="4" t="inlineStr">
        <is>
          <t>Riesgo de Cumplimiento</t>
        </is>
      </c>
      <c r="Q51" s="64"/>
      <c r="R51" s="64"/>
      <c r="S51" s="64"/>
      <c r="T51" s="98" t="inlineStr">
        <is>
          <t>No hay</t>
        </is>
      </c>
      <c r="U51" s="55" t="inlineStr">
        <is>
          <t>Inexistente</t>
        </is>
      </c>
      <c r="V51" s="37" t="str">
        <f>IFERROR(VLOOKUP(Matriz_Riesgos[[#This Row],[Escala de efectividad de control(es) preventivo(s)]],t_efectividad[],2,FALSE),"")</f>
      </c>
      <c r="W51" s="40" t="str">
        <f>IFERROR(VLOOKUP(Matriz_Riesgos[[#This Row],[Escala de efectividad de control(es) preventivo(s)]],t_efectividad[],3,FALSE),"")</f>
      </c>
      <c r="X51" s="4" t="inlineStr">
        <is>
          <t>No hay</t>
        </is>
      </c>
      <c r="Y51" s="55" t="inlineStr">
        <is>
          <t>Inexistente</t>
        </is>
      </c>
      <c r="Z51" s="37" t="str">
        <f>IFERROR(VLOOKUP(Matriz_Riesgos[[#This Row],[Escala de efectividad de control(es) detectivo(s)]],t_efectividad[],2,FALSE),"")</f>
      </c>
      <c r="AA51" s="57" t="str">
        <f>IFERROR(VLOOKUP(Matriz_Riesgos[[#This Row],[Escala de efectividad de control(es) detectivo(s)]],t_efectividad[],3,FALSE),"")</f>
      </c>
      <c r="AB51" s="4" t="inlineStr">
        <is>
          <t xml:space="preserve">Correctivo: Reportar a la Gerencia de Tecnologías de la Información y Comunicaciones las fallas identificadas en el sistema </t>
        </is>
      </c>
      <c r="AC51" s="55" t="inlineStr">
        <is>
          <t>Parcialmente Efectivo</t>
        </is>
      </c>
      <c r="AD51" s="37" t="str">
        <f>IFERROR(VLOOKUP(Matriz_Riesgos[[#This Row],[Escala de efectividad de control(es) correctivo(s)]],t_efectividad[],2,FALSE),"")</f>
      </c>
      <c r="AE51" s="40" t="str">
        <f>IFERROR(VLOOKUP(Matriz_Riesgos[[#This Row],[Escala de efectividad de control(es) correctivo(s)]],t_efectividad[],3,FALSE),"")</f>
      </c>
      <c r="AF51" s="25" t="inlineStr">
        <is>
          <t>Manual</t>
        </is>
      </c>
      <c r="AG51" s="66">
        <f>IF(AND(T51="",X51="",AB51=""),"",('Otras Tablas'!$B$3*IF(W51="",0,W51)+'Otras Tablas'!$B$4*IF(AA51="",0,AA51)+'Otras Tablas'!$B$5*IF(AE51="",0,AE51)))</f>
      </c>
      <c r="AH51" s="102" t="str">
        <f>IF(Matriz_Riesgos[[#This Row],[Riesgo Inherente]]="","",Matriz_Riesgos[[#This Row],[Riesgo Inherente]])</f>
      </c>
      <c r="AI51"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c>
      <c r="AJ51"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c>
      <c r="AK51" s="102" t="str">
        <f>IFERROR(ROUND(MAX(1,Matriz_Riesgos[[#This Row],[Valor del Riesgo Inherente]]*(1 - Matriz_Riesgos[[#This Row],[Efectividad Total Ponderada de los Controles]])),0), "")</f>
      </c>
      <c r="AL51" s="102" t="str">
        <f>IFERROR(VLOOKUP(Matriz_Riesgos[[#This Row],[Valor del Riesgo Residual]],t_nivel_riesgo[],2,FALSE),"")</f>
      </c>
      <c r="AM51" s="25" t="inlineStr">
        <is>
          <t xml:space="preserve">Transferir/Compartir </t>
        </is>
      </c>
      <c r="AN51" s="6"/>
      <c r="AO51" s="4"/>
      <c r="AP51" s="6"/>
      <c r="AQ51" s="4"/>
      <c r="AR51" s="4"/>
      <c r="AS51" s="4"/>
      <c r="AT51" s="32"/>
      <c r="AU51" s="32"/>
      <c r="AV51" s="4"/>
      <c r="AW51" s="4"/>
      <c r="AX51" s="96" t="str">
        <f>IFERROR((1-Matriz_Riesgos[[#This Row],[Efectividad Total Ponderada de los Controles]])*Matriz_Riesgos[[#This Row],[Frecuencia]],"")</f>
        <v/>
      </c>
      <c r="AY51" s="96" t="str">
        <f>IFERROR((1-Matriz_Riesgos[[#This Row],[Efectividad Total Ponderada de los Controles]])*Matriz_Riesgos[[#This Row],[Impacto]],"")</f>
        <v/>
      </c>
      <c r="AZ51" s="96" t="str">
        <f>IFERROR(Matriz_Riesgos[[#This Row],[Valor del Riesgo Residual]] + 1, "")</f>
        <v/>
      </c>
      <c r="BA51" s="96" t="str">
        <f>IFERROR(MAX(1, ROUNDDOWN(Matriz_Riesgos[[#This Row],[Frecuencia Residual (AUX)]],0)),"")</f>
        <v/>
      </c>
      <c r="BB51" s="96" t="str">
        <f>IFERROR(MAX(1, ROUNDDOWN(Matriz_Riesgos[[#This Row],[Impacto Residual (AUX)]],0)),"")</f>
        <v/>
      </c>
      <c r="BC51" s="96" t="str">
        <f>IF(Matriz_Riesgos[[#This Row],[Frecuencia]]="","",Matriz_Riesgos[[#This Row],[Frecuencia]])</f>
        <v/>
      </c>
      <c r="BD51" s="96" t="str">
        <f>IF(Matriz_Riesgos[[#This Row],[Impacto]]="","",Matriz_Riesgos[[#This Row],[Impacto]])</f>
        <v/>
      </c>
      <c r="BE51" s="96" t="str">
        <f>IF(OR(Matriz_Riesgos[[#This Row],[Tope F (AUX)]]="",Matriz_Riesgos[[#This Row],[F_base (AUX)]]=""),"",MAX(0,Matriz_Riesgos[[#This Row],[Tope F (AUX)]]-Matriz_Riesgos[[#This Row],[F_base (AUX)]]))</f>
        <v/>
      </c>
      <c r="BF51" s="96" t="str">
        <f>IF(OR(Matriz_Riesgos[[#This Row],[Tope I (AUX)]]="",Matriz_Riesgos[[#This Row],[I_base (AUX)]]=""),"",MAX(0,Matriz_Riesgos[[#This Row],[Tope I (AUX)]]-Matriz_Riesgos[[#This Row],[I_base (AUX)]]))</f>
        <v/>
      </c>
      <c r="BG51" s="96" t="str">
        <f>IF(OR(Matriz_Riesgos[[#This Row],[Suma Residual redondeada (AUX)]]="",Matriz_Riesgos[[#This Row],[F_base (AUX)]]="",Matriz_Riesgos[[#This Row],[I_base (AUX)]]=""),"",MAX(0,Matriz_Riesgos[[#This Row],[Suma Residual redondeada (AUX)]]-(Matriz_Riesgos[[#This Row],[F_base (AUX)]]+Matriz_Riesgos[[#This Row],[I_base (AUX)]])))</f>
        <v/>
      </c>
      <c r="BH51" s="96" t="str">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
      </c>
      <c r="BI51" s="96" t="str">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
      </c>
      <c r="BJ51" s="96" t="str">
        <f>IF(OR(Matriz_Riesgos[[#This Row],[Resto (AUX)]]="",Matriz_Riesgos[[#This Row],[Capacidad F (AUX)]]="",Matriz_Riesgos[[#This Row],[Inc_I (AUX)]]=""),"",MIN(Matriz_Riesgos[[#This Row],[Capacidad F (AUX)]], MAX(0,Matriz_Riesgos[[#This Row],[Resto (AUX)]]-Matriz_Riesgos[[#This Row],[Inc_I (AUX)]])))</f>
        <v/>
      </c>
      <c r="BK51" s="96" t="str">
        <f>IFERROR(MAX(ROUND(Matriz_Riesgos[[#This Row],[Frecuencia Residual (AUX)]]+Matriz_Riesgos[[#This Row],[Impacto Residual (AUX)]]-1+Matriz_Riesgos[[#This Row],[Efectividad Total Ponderada de los Controles]],0),1),"")</f>
        <v/>
      </c>
      <c r="BL51" s="96" t="str">
        <f>IFERROR(Matriz_Riesgos[[#This Row],[Valor del Riesgo Residual]]-Matriz_Riesgos[[#This Row],[Valor del Riesgo Residual (AUX)]],"")</f>
        <v/>
      </c>
      <c r="BM51" s="96" t="str">
        <f>IFERROR(Matriz_Riesgos[[#This Row],[Frecuencia Residual]]+Matriz_Riesgos[[#This Row],[Impacto Residual]]-1,"")</f>
        <v/>
      </c>
      <c r="BN51" s="96" t="str">
        <f>IFERROR(Matriz_Riesgos[[#This Row],[Valor del Riesgo Residual]]-Matriz_Riesgos[[#This Row],[VRR 2]],"")</f>
        <v/>
      </c>
      <c r="BO51" s="96" t="str">
        <f>IFERROR(Matriz_Riesgos[[#This Row],[Frecuencia]]-Matriz_Riesgos[[#This Row],[Frecuencia Residual]],"")</f>
        <v/>
      </c>
      <c r="BP51" s="96" t="str">
        <f>IFERROR(Matriz_Riesgos[[#This Row],[Impacto]]-Matriz_Riesgos[[#This Row],[Impacto Residual]],"")</f>
        <v/>
      </c>
      <c r="BQ51" s="96" t="str">
        <f>IFERROR(Matriz_Riesgos[[#This Row],[Valor del Riesgo Inherente]]-Matriz_Riesgos[[#This Row],[Valor del Riesgo Residual]],"")</f>
        <v/>
      </c>
      <c r="BR51" s="4"/>
      <c r="BS51" s="4"/>
      <c r="BT51" s="4"/>
      <c r="BU51" s="9"/>
      <c r="BV51" s="9"/>
      <c r="BW51" s="9"/>
      <c r="BX51" s="4"/>
      <c r="BY51" s="4"/>
      <c r="BZ51" s="4"/>
      <c r="CA51" s="4"/>
      <c r="CB51" s="4"/>
      <c r="CC51" s="4"/>
      <c r="CD51" s="4"/>
    </row>
    <row r="52" spans="1:75" ht="108" customHeight="1">
      <c r="A52" s="33">
        <v>51</v>
      </c>
      <c r="B52" s="37" t="inlineStr">
        <is>
          <t>ROP-CUMP-51</t>
        </is>
      </c>
      <c r="C52" s="4" t="inlineStr">
        <is>
          <t>Sección de Cumplimiento</t>
        </is>
      </c>
      <c r="D52" s="25" t="inlineStr">
        <is>
          <t>Sección de Cumplimiento</t>
        </is>
      </c>
      <c r="E52" s="36" t="inlineStr">
        <is>
          <t>Operativo</t>
        </is>
      </c>
      <c r="F52" s="4" t="inlineStr">
        <is>
          <t>Proceso comparativo entre listas de cautelas y base de datos patronal</t>
        </is>
      </c>
      <c r="G52" s="6" t="inlineStr">
        <is>
          <t xml:space="preserve">Suficiencia y sostenibilidad del Régimen de Invalidez, Vejez y Muerte.
Entrega oportuna de los beneficios a los asegurados.</t>
        </is>
      </c>
      <c r="H52" s="4" t="inlineStr">
        <is>
          <t>Incumplimiento de responsabilidad  de ejecutar el proceso comparativo entre listas de cautelas y base de datos patronal</t>
        </is>
      </c>
      <c r="I52" s="98" t="inlineStr">
        <is>
          <t xml:space="preserve">Descripción: Al fallar el sistema de datos normativos de patronos no se puede realizar el proceso comparativo entre listas de cautelas y base de datos patronal de forma automatica en el sistema de DNP 
Causas: Fallas en el Software de Datos Normativos de patronos
Efecto: no hay generacion de alertas para revision por parte de la seccion de cumplimiento, generando un incumplimiento  de responsabilidad  de ejecutar el proceso comparativo entre listas de cautelas y base de datos patronal</t>
        </is>
      </c>
      <c r="J52" s="25">
        <v>1</v>
      </c>
      <c r="K52" s="25">
        <v>4</v>
      </c>
      <c r="L52" s="37" t="str">
        <f>IF((Matriz_Riesgos[[#This Row],[Frecuencia]]+Matriz_Riesgos[[#This Row],[Impacto]]-1)=-1,"",Matriz_Riesgos[[#This Row],[Frecuencia]]+Matriz_Riesgos[[#This Row],[Impacto]]-1)</f>
      </c>
      <c r="M52" s="37" t="str">
        <f>IFERROR(VLOOKUP(Matriz_Riesgos[[#This Row],[Valor del Riesgo Inherente]],t_nivel_riesgo[],2,FALSE), "")</f>
      </c>
      <c r="N52" s="4" t="inlineStr">
        <is>
          <t>GTIC</t>
        </is>
      </c>
      <c r="O52" s="25" t="inlineStr">
        <is>
          <t>Todos</t>
        </is>
      </c>
      <c r="P52" s="4" t="inlineStr">
        <is>
          <t>Riesgo de Cumplimiento</t>
        </is>
      </c>
      <c r="Q52" s="64"/>
      <c r="R52" s="64"/>
      <c r="S52" s="64"/>
      <c r="T52" s="98" t="inlineStr">
        <is>
          <t>No hay</t>
        </is>
      </c>
      <c r="U52" s="55" t="inlineStr">
        <is>
          <t>Inexistente</t>
        </is>
      </c>
      <c r="V52" s="37" t="str">
        <f>IFERROR(VLOOKUP(Matriz_Riesgos[[#This Row],[Escala de efectividad de control(es) preventivo(s)]],t_efectividad[],2,FALSE),"")</f>
      </c>
      <c r="W52" s="40" t="str">
        <f>IFERROR(VLOOKUP(Matriz_Riesgos[[#This Row],[Escala de efectividad de control(es) preventivo(s)]],t_efectividad[],3,FALSE),"")</f>
      </c>
      <c r="X52" s="4" t="inlineStr">
        <is>
          <t>No hay</t>
        </is>
      </c>
      <c r="Y52" s="55" t="inlineStr">
        <is>
          <t>Inexistente</t>
        </is>
      </c>
      <c r="Z52" s="37" t="str">
        <f>IFERROR(VLOOKUP(Matriz_Riesgos[[#This Row],[Escala de efectividad de control(es) detectivo(s)]],t_efectividad[],2,FALSE),"")</f>
      </c>
      <c r="AA52" s="57" t="str">
        <f>IFERROR(VLOOKUP(Matriz_Riesgos[[#This Row],[Escala de efectividad de control(es) detectivo(s)]],t_efectividad[],3,FALSE),"")</f>
      </c>
      <c r="AB52" s="4" t="inlineStr">
        <is>
          <t xml:space="preserve">Correctivo: Ejecución Manual del proceso de Comparación de Bases de datos con las Listas de Cautela </t>
        </is>
      </c>
      <c r="AC52" s="55" t="inlineStr">
        <is>
          <t>Parcialmente Efectivo</t>
        </is>
      </c>
      <c r="AD52" s="37" t="str">
        <f>IFERROR(VLOOKUP(Matriz_Riesgos[[#This Row],[Escala de efectividad de control(es) correctivo(s)]],t_efectividad[],2,FALSE),"")</f>
      </c>
      <c r="AE52" s="40" t="str">
        <f>IFERROR(VLOOKUP(Matriz_Riesgos[[#This Row],[Escala de efectividad de control(es) correctivo(s)]],t_efectividad[],3,FALSE),"")</f>
      </c>
      <c r="AF52" s="25" t="inlineStr">
        <is>
          <t>Manual</t>
        </is>
      </c>
      <c r="AG52" s="66">
        <f>IF(AND(T52="",X52="",AB52=""),"",('Otras Tablas'!$B$3*IF(W52="",0,W52)+'Otras Tablas'!$B$4*IF(AA52="",0,AA52)+'Otras Tablas'!$B$5*IF(AE52="",0,AE52)))</f>
      </c>
      <c r="AH52" s="102" t="str">
        <f>IF(Matriz_Riesgos[[#This Row],[Riesgo Inherente]]="","",Matriz_Riesgos[[#This Row],[Riesgo Inherente]])</f>
      </c>
      <c r="AI52"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c>
      <c r="AJ52"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c>
      <c r="AK52" s="102" t="str">
        <f>IFERROR(ROUND(MAX(1,Matriz_Riesgos[[#This Row],[Valor del Riesgo Inherente]]*(1 - Matriz_Riesgos[[#This Row],[Efectividad Total Ponderada de los Controles]])),0), "")</f>
      </c>
      <c r="AL52" s="102" t="str">
        <f>IFERROR(VLOOKUP(Matriz_Riesgos[[#This Row],[Valor del Riesgo Residual]],t_nivel_riesgo[],2,FALSE),"")</f>
      </c>
      <c r="AM52" s="25" t="inlineStr">
        <is>
          <t>Aceptar</t>
        </is>
      </c>
      <c r="AN52" s="6"/>
      <c r="AO52" s="4"/>
      <c r="AP52" s="6"/>
      <c r="AQ52" s="4"/>
      <c r="AR52" s="4"/>
      <c r="AS52" s="4"/>
      <c r="AT52" s="32"/>
      <c r="AU52" s="32"/>
      <c r="AV52" s="4"/>
      <c r="AW52" s="4"/>
      <c r="AX52" s="96" t="str">
        <f>IFERROR((1-Matriz_Riesgos[[#This Row],[Efectividad Total Ponderada de los Controles]])*Matriz_Riesgos[[#This Row],[Frecuencia]],"")</f>
        <v/>
      </c>
      <c r="AY52" s="96" t="str">
        <f>IFERROR((1-Matriz_Riesgos[[#This Row],[Efectividad Total Ponderada de los Controles]])*Matriz_Riesgos[[#This Row],[Impacto]],"")</f>
        <v/>
      </c>
      <c r="AZ52" s="96" t="str">
        <f>IFERROR(Matriz_Riesgos[[#This Row],[Valor del Riesgo Residual]] + 1, "")</f>
        <v/>
      </c>
      <c r="BA52" s="96" t="str">
        <f>IFERROR(MAX(1, ROUNDDOWN(Matriz_Riesgos[[#This Row],[Frecuencia Residual (AUX)]],0)),"")</f>
        <v/>
      </c>
      <c r="BB52" s="96" t="str">
        <f>IFERROR(MAX(1, ROUNDDOWN(Matriz_Riesgos[[#This Row],[Impacto Residual (AUX)]],0)),"")</f>
        <v/>
      </c>
      <c r="BC52" s="96" t="str">
        <f>IF(Matriz_Riesgos[[#This Row],[Frecuencia]]="","",Matriz_Riesgos[[#This Row],[Frecuencia]])</f>
        <v/>
      </c>
      <c r="BD52" s="96" t="str">
        <f>IF(Matriz_Riesgos[[#This Row],[Impacto]]="","",Matriz_Riesgos[[#This Row],[Impacto]])</f>
        <v/>
      </c>
      <c r="BE52" s="96" t="str">
        <f>IF(OR(Matriz_Riesgos[[#This Row],[Tope F (AUX)]]="",Matriz_Riesgos[[#This Row],[F_base (AUX)]]=""),"",MAX(0,Matriz_Riesgos[[#This Row],[Tope F (AUX)]]-Matriz_Riesgos[[#This Row],[F_base (AUX)]]))</f>
        <v/>
      </c>
      <c r="BF52" s="96" t="str">
        <f>IF(OR(Matriz_Riesgos[[#This Row],[Tope I (AUX)]]="",Matriz_Riesgos[[#This Row],[I_base (AUX)]]=""),"",MAX(0,Matriz_Riesgos[[#This Row],[Tope I (AUX)]]-Matriz_Riesgos[[#This Row],[I_base (AUX)]]))</f>
        <v/>
      </c>
      <c r="BG52" s="96" t="str">
        <f>IF(OR(Matriz_Riesgos[[#This Row],[Suma Residual redondeada (AUX)]]="",Matriz_Riesgos[[#This Row],[F_base (AUX)]]="",Matriz_Riesgos[[#This Row],[I_base (AUX)]]=""),"",MAX(0,Matriz_Riesgos[[#This Row],[Suma Residual redondeada (AUX)]]-(Matriz_Riesgos[[#This Row],[F_base (AUX)]]+Matriz_Riesgos[[#This Row],[I_base (AUX)]])))</f>
        <v/>
      </c>
      <c r="BH52" s="96" t="str">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
      </c>
      <c r="BI52" s="96" t="str">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
      </c>
      <c r="BJ52" s="96" t="str">
        <f>IF(OR(Matriz_Riesgos[[#This Row],[Resto (AUX)]]="",Matriz_Riesgos[[#This Row],[Capacidad F (AUX)]]="",Matriz_Riesgos[[#This Row],[Inc_I (AUX)]]=""),"",MIN(Matriz_Riesgos[[#This Row],[Capacidad F (AUX)]], MAX(0,Matriz_Riesgos[[#This Row],[Resto (AUX)]]-Matriz_Riesgos[[#This Row],[Inc_I (AUX)]])))</f>
        <v/>
      </c>
      <c r="BK52" s="96" t="str">
        <f>IFERROR(MAX(ROUND(Matriz_Riesgos[[#This Row],[Frecuencia Residual (AUX)]]+Matriz_Riesgos[[#This Row],[Impacto Residual (AUX)]]-1+Matriz_Riesgos[[#This Row],[Efectividad Total Ponderada de los Controles]],0),1),"")</f>
        <v/>
      </c>
      <c r="BL52" s="96" t="str">
        <f>IFERROR(Matriz_Riesgos[[#This Row],[Valor del Riesgo Residual]]-Matriz_Riesgos[[#This Row],[Valor del Riesgo Residual (AUX)]],"")</f>
        <v/>
      </c>
      <c r="BM52" s="96" t="str">
        <f>IFERROR(Matriz_Riesgos[[#This Row],[Frecuencia Residual]]+Matriz_Riesgos[[#This Row],[Impacto Residual]]-1,"")</f>
        <v/>
      </c>
      <c r="BN52" s="96" t="str">
        <f>IFERROR(Matriz_Riesgos[[#This Row],[Valor del Riesgo Residual]]-Matriz_Riesgos[[#This Row],[VRR 2]],"")</f>
        <v/>
      </c>
      <c r="BO52" s="96" t="str">
        <f>IFERROR(Matriz_Riesgos[[#This Row],[Frecuencia]]-Matriz_Riesgos[[#This Row],[Frecuencia Residual]],"")</f>
        <v/>
      </c>
      <c r="BP52" s="96" t="str">
        <f>IFERROR(Matriz_Riesgos[[#This Row],[Impacto]]-Matriz_Riesgos[[#This Row],[Impacto Residual]],"")</f>
        <v/>
      </c>
      <c r="BQ52" s="96" t="str">
        <f>IFERROR(Matriz_Riesgos[[#This Row],[Valor del Riesgo Inherente]]-Matriz_Riesgos[[#This Row],[Valor del Riesgo Residual]],"")</f>
        <v/>
      </c>
      <c r="BR52" s="4"/>
      <c r="BS52" s="4"/>
      <c r="BT52" s="4"/>
      <c r="BU52" s="9"/>
      <c r="BV52" s="9"/>
      <c r="BW52" s="9"/>
      <c r="BX52" s="4"/>
      <c r="BY52" s="4"/>
      <c r="BZ52" s="4"/>
      <c r="CA52" s="4"/>
      <c r="CB52" s="4"/>
      <c r="CC52" s="4"/>
      <c r="CD52" s="4"/>
    </row>
    <row r="53" spans="1:75" ht="96" customHeight="1">
      <c r="A53" s="33">
        <v>52</v>
      </c>
      <c r="B53" s="37" t="inlineStr">
        <is>
          <t>ROP-CUMP-52</t>
        </is>
      </c>
      <c r="C53" s="4" t="inlineStr">
        <is>
          <t>Sección de Cumplimiento</t>
        </is>
      </c>
      <c r="D53" s="25" t="inlineStr">
        <is>
          <t>Sección de Cumplimiento</t>
        </is>
      </c>
      <c r="E53" s="36" t="inlineStr">
        <is>
          <t>Operativo</t>
        </is>
      </c>
      <c r="F53" s="4" t="inlineStr">
        <is>
          <t xml:space="preserve">CAPACITACIONES IMPARTIDAS POR LA SECCIÓN DE
CUMPLIMIENTO</t>
        </is>
      </c>
      <c r="G53" s="6" t="inlineStr">
        <is>
          <t xml:space="preserve">Suficiencia y sostenibilidad del Régimen de Invalidez, Vejez y Muerte.
Entrega oportuna de los beneficios a los asegurados.</t>
        </is>
      </c>
      <c r="H53" s="4" t="inlineStr">
        <is>
          <t xml:space="preserve">
Incumplimiento en el desarrollo del Plan de Capacitaciones en Temas de Prevención de Lavado de Activos y Financiamiento del Terrorismo</t>
        </is>
      </c>
      <c r="I53" s="98" t="inlineStr">
        <is>
          <t xml:space="preserve">Descripción: Actualmente la sección de Cumplimiento cuenta solo con 2 personas para llevar a cabo las capacitaciones a nivel de todo el personal del IHSS, se han tenido dificultades con espacios fisicos para desarrollar las capacitaciones.
Causas: Poco personal, falta de espacio, problemas de comunicación.
Efecto: Atrasos en las capacitaciones, personal que no es capacitado de acuerdo a la normativa, incumplimientos normativos</t>
        </is>
      </c>
      <c r="J53" s="25">
        <v>2</v>
      </c>
      <c r="K53" s="25">
        <v>4</v>
      </c>
      <c r="L53" s="37" t="str">
        <f>IF((Matriz_Riesgos[[#This Row],[Frecuencia]]+Matriz_Riesgos[[#This Row],[Impacto]]-1)=-1,"",Matriz_Riesgos[[#This Row],[Frecuencia]]+Matriz_Riesgos[[#This Row],[Impacto]]-1)</f>
      </c>
      <c r="M53" s="37" t="str">
        <f>IFERROR(VLOOKUP(Matriz_Riesgos[[#This Row],[Valor del Riesgo Inherente]],t_nivel_riesgo[],2,FALSE), "")</f>
      </c>
      <c r="N53" s="4" t="inlineStr">
        <is>
          <t>Seccion de Cumplimiento</t>
        </is>
      </c>
      <c r="O53" s="25" t="inlineStr">
        <is>
          <t>Todos</t>
        </is>
      </c>
      <c r="P53" s="4" t="inlineStr">
        <is>
          <t>Riesgo de Cumplimiento</t>
        </is>
      </c>
      <c r="Q53" s="64"/>
      <c r="R53" s="64"/>
      <c r="S53" s="64"/>
      <c r="T53" s="98" t="inlineStr">
        <is>
          <t xml:space="preserve">Preventivo: Elaboración de Plan Anual de Capacitaciones, mismo que es aprobado por el Comité de Cumplimiento y la Máxima Autoridad Institucional </t>
        </is>
      </c>
      <c r="U53" s="55" t="inlineStr">
        <is>
          <t>Moderado</t>
        </is>
      </c>
      <c r="V53" s="37" t="str">
        <f>IFERROR(VLOOKUP(Matriz_Riesgos[[#This Row],[Escala de efectividad de control(es) preventivo(s)]],t_efectividad[],2,FALSE),"")</f>
      </c>
      <c r="W53" s="40" t="str">
        <f>IFERROR(VLOOKUP(Matriz_Riesgos[[#This Row],[Escala de efectividad de control(es) preventivo(s)]],t_efectividad[],3,FALSE),"")</f>
      </c>
      <c r="X53" s="4" t="inlineStr">
        <is>
          <t>No hay</t>
        </is>
      </c>
      <c r="Y53" s="55" t="inlineStr">
        <is>
          <t>Inexistente</t>
        </is>
      </c>
      <c r="Z53" s="37" t="str">
        <f>IFERROR(VLOOKUP(Matriz_Riesgos[[#This Row],[Escala de efectividad de control(es) detectivo(s)]],t_efectividad[],2,FALSE),"")</f>
      </c>
      <c r="AA53" s="57" t="str">
        <f>IFERROR(VLOOKUP(Matriz_Riesgos[[#This Row],[Escala de efectividad de control(es) detectivo(s)]],t_efectividad[],3,FALSE),"")</f>
      </c>
      <c r="AB53" s="4" t="inlineStr">
        <is>
          <t>No hay</t>
        </is>
      </c>
      <c r="AC53" s="55" t="inlineStr">
        <is>
          <t>Inexistente</t>
        </is>
      </c>
      <c r="AD53" s="37" t="str">
        <f>IFERROR(VLOOKUP(Matriz_Riesgos[[#This Row],[Escala de efectividad de control(es) correctivo(s)]],t_efectividad[],2,FALSE),"")</f>
      </c>
      <c r="AE53" s="40" t="str">
        <f>IFERROR(VLOOKUP(Matriz_Riesgos[[#This Row],[Escala de efectividad de control(es) correctivo(s)]],t_efectividad[],3,FALSE),"")</f>
      </c>
      <c r="AF53" s="25" t="inlineStr">
        <is>
          <t>Manual</t>
        </is>
      </c>
      <c r="AG53" s="66">
        <f>IF(AND(T53="",X53="",AB53=""),"",('Otras Tablas'!$B$3*IF(W53="",0,W53)+'Otras Tablas'!$B$4*IF(AA53="",0,AA53)+'Otras Tablas'!$B$5*IF(AE53="",0,AE53)))</f>
      </c>
      <c r="AH53" s="102" t="str">
        <f>IF(Matriz_Riesgos[[#This Row],[Riesgo Inherente]]="","",Matriz_Riesgos[[#This Row],[Riesgo Inherente]])</f>
      </c>
      <c r="AI53"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c>
      <c r="AJ53"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c>
      <c r="AK53" s="102" t="str">
        <f>IFERROR(ROUND(MAX(1,Matriz_Riesgos[[#This Row],[Valor del Riesgo Inherente]]*(1 - Matriz_Riesgos[[#This Row],[Efectividad Total Ponderada de los Controles]])),0), "")</f>
      </c>
      <c r="AL53" s="102" t="str">
        <f>IFERROR(VLOOKUP(Matriz_Riesgos[[#This Row],[Valor del Riesgo Residual]],t_nivel_riesgo[],2,FALSE),"")</f>
      </c>
      <c r="AM53" s="25" t="inlineStr">
        <is>
          <t>Aceptar</t>
        </is>
      </c>
      <c r="AN53" s="6"/>
      <c r="AO53" s="4"/>
      <c r="AP53" s="6"/>
      <c r="AQ53" s="4"/>
      <c r="AR53" s="4"/>
      <c r="AS53" s="4"/>
      <c r="AT53" s="32"/>
      <c r="AU53" s="32"/>
      <c r="AV53" s="4"/>
      <c r="AW53" s="4"/>
      <c r="AX53" s="96" t="str">
        <f>IFERROR((1-Matriz_Riesgos[[#This Row],[Efectividad Total Ponderada de los Controles]])*Matriz_Riesgos[[#This Row],[Frecuencia]],"")</f>
        <v/>
      </c>
      <c r="AY53" s="96" t="str">
        <f>IFERROR((1-Matriz_Riesgos[[#This Row],[Efectividad Total Ponderada de los Controles]])*Matriz_Riesgos[[#This Row],[Impacto]],"")</f>
        <v/>
      </c>
      <c r="AZ53" s="96" t="str">
        <f>IFERROR(Matriz_Riesgos[[#This Row],[Valor del Riesgo Residual]] + 1, "")</f>
        <v/>
      </c>
      <c r="BA53" s="96" t="str">
        <f>IFERROR(MAX(1, ROUNDDOWN(Matriz_Riesgos[[#This Row],[Frecuencia Residual (AUX)]],0)),"")</f>
        <v/>
      </c>
      <c r="BB53" s="96" t="str">
        <f>IFERROR(MAX(1, ROUNDDOWN(Matriz_Riesgos[[#This Row],[Impacto Residual (AUX)]],0)),"")</f>
        <v/>
      </c>
      <c r="BC53" s="96" t="str">
        <f>IF(Matriz_Riesgos[[#This Row],[Frecuencia]]="","",Matriz_Riesgos[[#This Row],[Frecuencia]])</f>
        <v/>
      </c>
      <c r="BD53" s="96" t="str">
        <f>IF(Matriz_Riesgos[[#This Row],[Impacto]]="","",Matriz_Riesgos[[#This Row],[Impacto]])</f>
        <v/>
      </c>
      <c r="BE53" s="96" t="str">
        <f>IF(OR(Matriz_Riesgos[[#This Row],[Tope F (AUX)]]="",Matriz_Riesgos[[#This Row],[F_base (AUX)]]=""),"",MAX(0,Matriz_Riesgos[[#This Row],[Tope F (AUX)]]-Matriz_Riesgos[[#This Row],[F_base (AUX)]]))</f>
        <v/>
      </c>
      <c r="BF53" s="96" t="str">
        <f>IF(OR(Matriz_Riesgos[[#This Row],[Tope I (AUX)]]="",Matriz_Riesgos[[#This Row],[I_base (AUX)]]=""),"",MAX(0,Matriz_Riesgos[[#This Row],[Tope I (AUX)]]-Matriz_Riesgos[[#This Row],[I_base (AUX)]]))</f>
        <v/>
      </c>
      <c r="BG53" s="96" t="str">
        <f>IF(OR(Matriz_Riesgos[[#This Row],[Suma Residual redondeada (AUX)]]="",Matriz_Riesgos[[#This Row],[F_base (AUX)]]="",Matriz_Riesgos[[#This Row],[I_base (AUX)]]=""),"",MAX(0,Matriz_Riesgos[[#This Row],[Suma Residual redondeada (AUX)]]-(Matriz_Riesgos[[#This Row],[F_base (AUX)]]+Matriz_Riesgos[[#This Row],[I_base (AUX)]])))</f>
        <v/>
      </c>
      <c r="BH53" s="96" t="str">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
      </c>
      <c r="BI53" s="96" t="str">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
      </c>
      <c r="BJ53" s="96" t="str">
        <f>IF(OR(Matriz_Riesgos[[#This Row],[Resto (AUX)]]="",Matriz_Riesgos[[#This Row],[Capacidad F (AUX)]]="",Matriz_Riesgos[[#This Row],[Inc_I (AUX)]]=""),"",MIN(Matriz_Riesgos[[#This Row],[Capacidad F (AUX)]], MAX(0,Matriz_Riesgos[[#This Row],[Resto (AUX)]]-Matriz_Riesgos[[#This Row],[Inc_I (AUX)]])))</f>
        <v/>
      </c>
      <c r="BK53" s="96" t="str">
        <f>IFERROR(MAX(ROUND(Matriz_Riesgos[[#This Row],[Frecuencia Residual (AUX)]]+Matriz_Riesgos[[#This Row],[Impacto Residual (AUX)]]-1+Matriz_Riesgos[[#This Row],[Efectividad Total Ponderada de los Controles]],0),1),"")</f>
        <v/>
      </c>
      <c r="BL53" s="96" t="str">
        <f>IFERROR(Matriz_Riesgos[[#This Row],[Valor del Riesgo Residual]]-Matriz_Riesgos[[#This Row],[Valor del Riesgo Residual (AUX)]],"")</f>
        <v/>
      </c>
      <c r="BM53" s="96" t="str">
        <f>IFERROR(Matriz_Riesgos[[#This Row],[Frecuencia Residual]]+Matriz_Riesgos[[#This Row],[Impacto Residual]]-1,"")</f>
        <v/>
      </c>
      <c r="BN53" s="96" t="str">
        <f>IFERROR(Matriz_Riesgos[[#This Row],[Valor del Riesgo Residual]]-Matriz_Riesgos[[#This Row],[VRR 2]],"")</f>
        <v/>
      </c>
      <c r="BO53" s="96" t="str">
        <f>IFERROR(Matriz_Riesgos[[#This Row],[Frecuencia]]-Matriz_Riesgos[[#This Row],[Frecuencia Residual]],"")</f>
        <v/>
      </c>
      <c r="BP53" s="96" t="str">
        <f>IFERROR(Matriz_Riesgos[[#This Row],[Impacto]]-Matriz_Riesgos[[#This Row],[Impacto Residual]],"")</f>
        <v/>
      </c>
      <c r="BQ53" s="96" t="str">
        <f>IFERROR(Matriz_Riesgos[[#This Row],[Valor del Riesgo Inherente]]-Matriz_Riesgos[[#This Row],[Valor del Riesgo Residual]],"")</f>
        <v/>
      </c>
      <c r="BR53" s="4"/>
      <c r="BS53" s="4"/>
      <c r="BT53" s="4"/>
      <c r="BU53" s="9"/>
      <c r="BV53" s="9"/>
      <c r="BW53" s="9"/>
      <c r="BX53" s="4"/>
      <c r="BY53" s="4"/>
      <c r="BZ53" s="4"/>
      <c r="CA53" s="4"/>
      <c r="CB53" s="4"/>
      <c r="CC53" s="4"/>
      <c r="CD53" s="4"/>
    </row>
    <row r="54" spans="1:75" ht="96" customHeight="1">
      <c r="A54" s="33">
        <v>53</v>
      </c>
      <c r="B54" s="37" t="inlineStr">
        <is>
          <t>ROP-CUMP-53</t>
        </is>
      </c>
      <c r="C54" s="4" t="inlineStr">
        <is>
          <t>Sección de Cumplimiento</t>
        </is>
      </c>
      <c r="D54" s="25" t="inlineStr">
        <is>
          <t>Sección de Cumplimiento</t>
        </is>
      </c>
      <c r="E54" s="36" t="inlineStr">
        <is>
          <t>Operativo</t>
        </is>
      </c>
      <c r="F54" s="4" t="inlineStr">
        <is>
          <t>Politica Conozca a su Empleado</t>
        </is>
      </c>
      <c r="G54" s="6" t="inlineStr">
        <is>
          <t xml:space="preserve">Suficiencia y sostenibilidad del Régimen de Invalidez, Vejez y Muerte.
Entrega oportuna de los beneficios a los asegurados.</t>
        </is>
      </c>
      <c r="H54" s="4" t="inlineStr">
        <is>
          <t>Expedientes de Funcionarios y Empleados inexistentes o incompletos</t>
        </is>
      </c>
      <c r="I54" s="98" t="inlineStr">
        <is>
          <t xml:space="preserve">Descripción: La sección de Cuplimiento vigila el cumplimiento de Carencia de datos actualizados por parte de la Subgerencia de Recursos Humanos con el objeto de conocer la cantidad de expedientes inexistentes o incompletos, atrasos en la actualizacion de expedientes
Causas: Personal que no entrega documentos actualizados.
Efecto: incumplimiento de politica conozca a su empleado.</t>
        </is>
      </c>
      <c r="J54" s="25">
        <v>4</v>
      </c>
      <c r="K54" s="25">
        <v>5</v>
      </c>
      <c r="L54" s="37" t="str">
        <f>IF((Matriz_Riesgos[[#This Row],[Frecuencia]]+Matriz_Riesgos[[#This Row],[Impacto]]-1)=-1,"",Matriz_Riesgos[[#This Row],[Frecuencia]]+Matriz_Riesgos[[#This Row],[Impacto]]-1)</f>
      </c>
      <c r="M54" s="37" t="str">
        <f>IFERROR(VLOOKUP(Matriz_Riesgos[[#This Row],[Valor del Riesgo Inherente]],t_nivel_riesgo[],2,FALSE), "")</f>
      </c>
      <c r="N54" s="4" t="inlineStr">
        <is>
          <t>Recursos Humanos</t>
        </is>
      </c>
      <c r="O54" s="25" t="inlineStr">
        <is>
          <t>Todos</t>
        </is>
      </c>
      <c r="P54" s="4" t="inlineStr">
        <is>
          <t>Riesgo de Cumplimiento</t>
        </is>
      </c>
      <c r="Q54" s="64"/>
      <c r="R54" s="64"/>
      <c r="S54" s="64"/>
      <c r="T54" s="98" t="inlineStr">
        <is>
          <t>Preventivo: Política Conozca a su Empleado Aprobada y Socializada y capacitaciones periodicas</t>
        </is>
      </c>
      <c r="U54" s="55" t="inlineStr">
        <is>
          <t>Razonable</t>
        </is>
      </c>
      <c r="V54" s="37" t="str">
        <f>IFERROR(VLOOKUP(Matriz_Riesgos[[#This Row],[Escala de efectividad de control(es) preventivo(s)]],t_efectividad[],2,FALSE),"")</f>
      </c>
      <c r="W54" s="40" t="str">
        <f>IFERROR(VLOOKUP(Matriz_Riesgos[[#This Row],[Escala de efectividad de control(es) preventivo(s)]],t_efectividad[],3,FALSE),"")</f>
      </c>
      <c r="X54" s="4" t="inlineStr">
        <is>
          <t>Detectivo: Proceso de revisión aleatoria de expedientes de empleados por parte de la Sección de Cumplimiento</t>
        </is>
      </c>
      <c r="Y54" s="55" t="inlineStr">
        <is>
          <t>Inexistente</t>
        </is>
      </c>
      <c r="Z54" s="37" t="str">
        <f>IFERROR(VLOOKUP(Matriz_Riesgos[[#This Row],[Escala de efectividad de control(es) detectivo(s)]],t_efectividad[],2,FALSE),"")</f>
      </c>
      <c r="AA54" s="57" t="str">
        <f>IFERROR(VLOOKUP(Matriz_Riesgos[[#This Row],[Escala de efectividad de control(es) detectivo(s)]],t_efectividad[],3,FALSE),"")</f>
      </c>
      <c r="AB54" s="4" t="inlineStr">
        <is>
          <t>Correctivo: Presentación de Informes por parte de la Sección de Cumplimiento  al Comité de Cumplimiento y Maxima Autoridad Institucional con las recomendaciones pertinentes</t>
        </is>
      </c>
      <c r="AC54" s="55" t="inlineStr">
        <is>
          <t>Inexistente</t>
        </is>
      </c>
      <c r="AD54" s="37" t="str">
        <f>IFERROR(VLOOKUP(Matriz_Riesgos[[#This Row],[Escala de efectividad de control(es) correctivo(s)]],t_efectividad[],2,FALSE),"")</f>
      </c>
      <c r="AE54" s="40" t="str">
        <f>IFERROR(VLOOKUP(Matriz_Riesgos[[#This Row],[Escala de efectividad de control(es) correctivo(s)]],t_efectividad[],3,FALSE),"")</f>
      </c>
      <c r="AF54" s="25" t="inlineStr">
        <is>
          <t>Manual</t>
        </is>
      </c>
      <c r="AG54" s="66">
        <f>IF(AND(T54="",X54="",AB54=""),"",('Otras Tablas'!$B$3*IF(W54="",0,W54)+'Otras Tablas'!$B$4*IF(AA54="",0,AA54)+'Otras Tablas'!$B$5*IF(AE54="",0,AE54)))</f>
      </c>
      <c r="AH54" s="102" t="str">
        <f>IF(Matriz_Riesgos[[#This Row],[Riesgo Inherente]]="","",Matriz_Riesgos[[#This Row],[Riesgo Inherente]])</f>
      </c>
      <c r="AI54"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c>
      <c r="AJ54"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c>
      <c r="AK54" s="102" t="str">
        <f>IFERROR(ROUND(MAX(1,Matriz_Riesgos[[#This Row],[Valor del Riesgo Inherente]]*(1 - Matriz_Riesgos[[#This Row],[Efectividad Total Ponderada de los Controles]])),0), "")</f>
      </c>
      <c r="AL54" s="102" t="str">
        <f>IFERROR(VLOOKUP(Matriz_Riesgos[[#This Row],[Valor del Riesgo Residual]],t_nivel_riesgo[],2,FALSE),"")</f>
      </c>
      <c r="AM54" s="25" t="inlineStr">
        <is>
          <t xml:space="preserve">Transferir/Compartir </t>
        </is>
      </c>
      <c r="AN54" s="6"/>
      <c r="AO54" s="4"/>
      <c r="AP54" s="6"/>
      <c r="AQ54" s="4"/>
      <c r="AR54" s="4"/>
      <c r="AS54" s="4"/>
      <c r="AT54" s="32"/>
      <c r="AU54" s="32"/>
      <c r="AV54" s="4"/>
      <c r="AW54" s="4"/>
      <c r="AX54" s="96" t="str">
        <f>IFERROR((1-Matriz_Riesgos[[#This Row],[Efectividad Total Ponderada de los Controles]])*Matriz_Riesgos[[#This Row],[Frecuencia]],"")</f>
        <v/>
      </c>
      <c r="AY54" s="96" t="str">
        <f>IFERROR((1-Matriz_Riesgos[[#This Row],[Efectividad Total Ponderada de los Controles]])*Matriz_Riesgos[[#This Row],[Impacto]],"")</f>
        <v/>
      </c>
      <c r="AZ54" s="96" t="str">
        <f>IFERROR(Matriz_Riesgos[[#This Row],[Valor del Riesgo Residual]] + 1, "")</f>
        <v/>
      </c>
      <c r="BA54" s="96" t="str">
        <f>IFERROR(MAX(1, ROUNDDOWN(Matriz_Riesgos[[#This Row],[Frecuencia Residual (AUX)]],0)),"")</f>
        <v/>
      </c>
      <c r="BB54" s="96" t="str">
        <f>IFERROR(MAX(1, ROUNDDOWN(Matriz_Riesgos[[#This Row],[Impacto Residual (AUX)]],0)),"")</f>
        <v/>
      </c>
      <c r="BC54" s="96" t="str">
        <f>IF(Matriz_Riesgos[[#This Row],[Frecuencia]]="","",Matriz_Riesgos[[#This Row],[Frecuencia]])</f>
        <v/>
      </c>
      <c r="BD54" s="96" t="str">
        <f>IF(Matriz_Riesgos[[#This Row],[Impacto]]="","",Matriz_Riesgos[[#This Row],[Impacto]])</f>
        <v/>
      </c>
      <c r="BE54" s="96" t="str">
        <f>IF(OR(Matriz_Riesgos[[#This Row],[Tope F (AUX)]]="",Matriz_Riesgos[[#This Row],[F_base (AUX)]]=""),"",MAX(0,Matriz_Riesgos[[#This Row],[Tope F (AUX)]]-Matriz_Riesgos[[#This Row],[F_base (AUX)]]))</f>
        <v/>
      </c>
      <c r="BF54" s="96" t="str">
        <f>IF(OR(Matriz_Riesgos[[#This Row],[Tope I (AUX)]]="",Matriz_Riesgos[[#This Row],[I_base (AUX)]]=""),"",MAX(0,Matriz_Riesgos[[#This Row],[Tope I (AUX)]]-Matriz_Riesgos[[#This Row],[I_base (AUX)]]))</f>
        <v/>
      </c>
      <c r="BG54" s="96" t="str">
        <f>IF(OR(Matriz_Riesgos[[#This Row],[Suma Residual redondeada (AUX)]]="",Matriz_Riesgos[[#This Row],[F_base (AUX)]]="",Matriz_Riesgos[[#This Row],[I_base (AUX)]]=""),"",MAX(0,Matriz_Riesgos[[#This Row],[Suma Residual redondeada (AUX)]]-(Matriz_Riesgos[[#This Row],[F_base (AUX)]]+Matriz_Riesgos[[#This Row],[I_base (AUX)]])))</f>
        <v/>
      </c>
      <c r="BH54" s="96" t="str">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
      </c>
      <c r="BI54" s="96" t="str">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
      </c>
      <c r="BJ54" s="96" t="str">
        <f>IF(OR(Matriz_Riesgos[[#This Row],[Resto (AUX)]]="",Matriz_Riesgos[[#This Row],[Capacidad F (AUX)]]="",Matriz_Riesgos[[#This Row],[Inc_I (AUX)]]=""),"",MIN(Matriz_Riesgos[[#This Row],[Capacidad F (AUX)]], MAX(0,Matriz_Riesgos[[#This Row],[Resto (AUX)]]-Matriz_Riesgos[[#This Row],[Inc_I (AUX)]])))</f>
        <v/>
      </c>
      <c r="BK54" s="96" t="str">
        <f>IFERROR(MAX(ROUND(Matriz_Riesgos[[#This Row],[Frecuencia Residual (AUX)]]+Matriz_Riesgos[[#This Row],[Impacto Residual (AUX)]]-1+Matriz_Riesgos[[#This Row],[Efectividad Total Ponderada de los Controles]],0),1),"")</f>
        <v/>
      </c>
      <c r="BL54" s="96" t="str">
        <f>IFERROR(Matriz_Riesgos[[#This Row],[Valor del Riesgo Residual]]-Matriz_Riesgos[[#This Row],[Valor del Riesgo Residual (AUX)]],"")</f>
        <v/>
      </c>
      <c r="BM54" s="96" t="str">
        <f>IFERROR(Matriz_Riesgos[[#This Row],[Frecuencia Residual]]+Matriz_Riesgos[[#This Row],[Impacto Residual]]-1,"")</f>
        <v/>
      </c>
      <c r="BN54" s="96" t="str">
        <f>IFERROR(Matriz_Riesgos[[#This Row],[Valor del Riesgo Residual]]-Matriz_Riesgos[[#This Row],[VRR 2]],"")</f>
        <v/>
      </c>
      <c r="BO54" s="96" t="str">
        <f>IFERROR(Matriz_Riesgos[[#This Row],[Frecuencia]]-Matriz_Riesgos[[#This Row],[Frecuencia Residual]],"")</f>
        <v/>
      </c>
      <c r="BP54" s="96" t="str">
        <f>IFERROR(Matriz_Riesgos[[#This Row],[Impacto]]-Matriz_Riesgos[[#This Row],[Impacto Residual]],"")</f>
        <v/>
      </c>
      <c r="BQ54" s="96" t="str">
        <f>IFERROR(Matriz_Riesgos[[#This Row],[Valor del Riesgo Inherente]]-Matriz_Riesgos[[#This Row],[Valor del Riesgo Residual]],"")</f>
        <v/>
      </c>
      <c r="BR54" s="4"/>
      <c r="BS54" s="4"/>
      <c r="BT54" s="4"/>
      <c r="BU54" s="9"/>
      <c r="BV54" s="9"/>
      <c r="BW54" s="9"/>
      <c r="BX54" s="4"/>
      <c r="BY54" s="4"/>
      <c r="BZ54" s="4"/>
      <c r="CA54" s="4"/>
      <c r="CB54" s="4"/>
      <c r="CC54" s="4"/>
      <c r="CD54" s="4"/>
    </row>
    <row r="55" spans="1:75" ht="96" customHeight="1">
      <c r="A55" s="33">
        <v>54</v>
      </c>
      <c r="B55" s="37" t="inlineStr">
        <is>
          <t>ROP-CUMP-54</t>
        </is>
      </c>
      <c r="C55" s="4" t="inlineStr">
        <is>
          <t>Sección de Cumplimiento</t>
        </is>
      </c>
      <c r="D55" s="25" t="inlineStr">
        <is>
          <t>Sección de Cumplimiento</t>
        </is>
      </c>
      <c r="E55" s="36" t="inlineStr">
        <is>
          <t>Operativo</t>
        </is>
      </c>
      <c r="F55" s="4" t="inlineStr">
        <is>
          <t>Politica Conozca a su Empleado</t>
        </is>
      </c>
      <c r="G55" s="6" t="inlineStr">
        <is>
          <t xml:space="preserve">Suficiencia y sostenibilidad del Régimen de Invalidez, Vejez y Muerte.
Entrega oportuna de los beneficios a los asegurados.</t>
        </is>
      </c>
      <c r="H55" s="4" t="inlineStr">
        <is>
          <t xml:space="preserve">
Incumplimiento en la implementación de la Declaración Jurada de Ingresos, Activos y Pasivos</t>
        </is>
      </c>
      <c r="I55" s="98" t="inlineStr">
        <is>
          <t xml:space="preserve">Descripción: No se ha implementado el Proceso de Declaración Patrimonial 
Causas: Posible falta de recurso humano para la implementación del proceso, falta de un Plan de Acción 
Efecto: incumplimientos normativos</t>
        </is>
      </c>
      <c r="J55" s="25">
        <v>4</v>
      </c>
      <c r="K55" s="25">
        <v>4</v>
      </c>
      <c r="L55" s="37" t="str">
        <f>IF((Matriz_Riesgos[[#This Row],[Frecuencia]]+Matriz_Riesgos[[#This Row],[Impacto]]-1)=-1,"",Matriz_Riesgos[[#This Row],[Frecuencia]]+Matriz_Riesgos[[#This Row],[Impacto]]-1)</f>
      </c>
      <c r="M55" s="37" t="str">
        <f>IFERROR(VLOOKUP(Matriz_Riesgos[[#This Row],[Valor del Riesgo Inherente]],t_nivel_riesgo[],2,FALSE), "")</f>
      </c>
      <c r="N55" s="4" t="inlineStr">
        <is>
          <t>Recursos Humanos</t>
        </is>
      </c>
      <c r="O55" s="25" t="inlineStr">
        <is>
          <t>IVM</t>
        </is>
      </c>
      <c r="P55" s="4" t="inlineStr">
        <is>
          <t>Riesgo de Cumplimiento</t>
        </is>
      </c>
      <c r="Q55" s="64"/>
      <c r="R55" s="64"/>
      <c r="S55" s="64"/>
      <c r="T55" s="98" t="inlineStr">
        <is>
          <t xml:space="preserve">
Política Conozca a su Empleado Aprobada y Socializada y capacitaciones periodicas por parte de la Sección de Cumplimiento.
Sistema de Declaración Patrimonial y el Procedimiento correspondiente a este proceso
</t>
        </is>
      </c>
      <c r="U55" s="55" t="inlineStr">
        <is>
          <t>Inefectivo</t>
        </is>
      </c>
      <c r="V55" s="37" t="str">
        <f>IFERROR(VLOOKUP(Matriz_Riesgos[[#This Row],[Escala de efectividad de control(es) preventivo(s)]],t_efectividad[],2,FALSE),"")</f>
      </c>
      <c r="W55" s="40" t="str">
        <f>IFERROR(VLOOKUP(Matriz_Riesgos[[#This Row],[Escala de efectividad de control(es) preventivo(s)]],t_efectividad[],3,FALSE),"")</f>
      </c>
      <c r="X55" s="4" t="inlineStr">
        <is>
          <t>No hay</t>
        </is>
      </c>
      <c r="Y55" s="55" t="inlineStr">
        <is>
          <t>Inexistente</t>
        </is>
      </c>
      <c r="Z55" s="37" t="str">
        <f>IFERROR(VLOOKUP(Matriz_Riesgos[[#This Row],[Escala de efectividad de control(es) detectivo(s)]],t_efectividad[],2,FALSE),"")</f>
      </c>
      <c r="AA55" s="57" t="str">
        <f>IFERROR(VLOOKUP(Matriz_Riesgos[[#This Row],[Escala de efectividad de control(es) detectivo(s)]],t_efectividad[],3,FALSE),"")</f>
      </c>
      <c r="AB55" s="4" t="inlineStr">
        <is>
          <t>No hay</t>
        </is>
      </c>
      <c r="AC55" s="55" t="inlineStr">
        <is>
          <t>Inefectivo</t>
        </is>
      </c>
      <c r="AD55" s="37" t="str">
        <f>IFERROR(VLOOKUP(Matriz_Riesgos[[#This Row],[Escala de efectividad de control(es) correctivo(s)]],t_efectividad[],2,FALSE),"")</f>
      </c>
      <c r="AE55" s="40" t="str">
        <f>IFERROR(VLOOKUP(Matriz_Riesgos[[#This Row],[Escala de efectividad de control(es) correctivo(s)]],t_efectividad[],3,FALSE),"")</f>
      </c>
      <c r="AF55" s="25" t="inlineStr">
        <is>
          <t>Semiautomatizado</t>
        </is>
      </c>
      <c r="AG55" s="66">
        <f>IF(AND(T55="",X55="",AB55=""),"",('Otras Tablas'!$B$3*IF(W55="",0,W55)+'Otras Tablas'!$B$4*IF(AA55="",0,AA55)+'Otras Tablas'!$B$5*IF(AE55="",0,AE55)))</f>
      </c>
      <c r="AH55" s="102" t="str">
        <f>IF(Matriz_Riesgos[[#This Row],[Riesgo Inherente]]="","",Matriz_Riesgos[[#This Row],[Riesgo Inherente]])</f>
      </c>
      <c r="AI55"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c>
      <c r="AJ55"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c>
      <c r="AK55" s="102" t="str">
        <f>IFERROR(ROUND(MAX(1,Matriz_Riesgos[[#This Row],[Valor del Riesgo Inherente]]*(1 - Matriz_Riesgos[[#This Row],[Efectividad Total Ponderada de los Controles]])),0), "")</f>
      </c>
      <c r="AL55" s="102" t="str">
        <f>IFERROR(VLOOKUP(Matriz_Riesgos[[#This Row],[Valor del Riesgo Residual]],t_nivel_riesgo[],2,FALSE),"")</f>
      </c>
      <c r="AM55" s="25" t="inlineStr">
        <is>
          <t xml:space="preserve">Transferir/Compartir </t>
        </is>
      </c>
      <c r="AN55" s="6"/>
      <c r="AO55" s="4"/>
      <c r="AP55" s="6"/>
      <c r="AQ55" s="4"/>
      <c r="AR55" s="4"/>
      <c r="AS55" s="4"/>
      <c r="AT55" s="32"/>
      <c r="AU55" s="32"/>
      <c r="AV55" s="4"/>
      <c r="AW55" s="4"/>
      <c r="AX55" s="96" t="str">
        <f>IFERROR((1-Matriz_Riesgos[[#This Row],[Efectividad Total Ponderada de los Controles]])*Matriz_Riesgos[[#This Row],[Frecuencia]],"")</f>
        <v/>
      </c>
      <c r="AY55" s="96" t="str">
        <f>IFERROR((1-Matriz_Riesgos[[#This Row],[Efectividad Total Ponderada de los Controles]])*Matriz_Riesgos[[#This Row],[Impacto]],"")</f>
        <v/>
      </c>
      <c r="AZ55" s="96" t="str">
        <f>IFERROR(Matriz_Riesgos[[#This Row],[Valor del Riesgo Residual]] + 1, "")</f>
        <v/>
      </c>
      <c r="BA55" s="96" t="str">
        <f>IFERROR(MAX(1, ROUNDDOWN(Matriz_Riesgos[[#This Row],[Frecuencia Residual (AUX)]],0)),"")</f>
        <v/>
      </c>
      <c r="BB55" s="96" t="str">
        <f>IFERROR(MAX(1, ROUNDDOWN(Matriz_Riesgos[[#This Row],[Impacto Residual (AUX)]],0)),"")</f>
        <v/>
      </c>
      <c r="BC55" s="96" t="str">
        <f>IF(Matriz_Riesgos[[#This Row],[Frecuencia]]="","",Matriz_Riesgos[[#This Row],[Frecuencia]])</f>
        <v/>
      </c>
      <c r="BD55" s="96" t="str">
        <f>IF(Matriz_Riesgos[[#This Row],[Impacto]]="","",Matriz_Riesgos[[#This Row],[Impacto]])</f>
        <v/>
      </c>
      <c r="BE55" s="96" t="str">
        <f>IF(OR(Matriz_Riesgos[[#This Row],[Tope F (AUX)]]="",Matriz_Riesgos[[#This Row],[F_base (AUX)]]=""),"",MAX(0,Matriz_Riesgos[[#This Row],[Tope F (AUX)]]-Matriz_Riesgos[[#This Row],[F_base (AUX)]]))</f>
        <v/>
      </c>
      <c r="BF55" s="96" t="str">
        <f>IF(OR(Matriz_Riesgos[[#This Row],[Tope I (AUX)]]="",Matriz_Riesgos[[#This Row],[I_base (AUX)]]=""),"",MAX(0,Matriz_Riesgos[[#This Row],[Tope I (AUX)]]-Matriz_Riesgos[[#This Row],[I_base (AUX)]]))</f>
        <v/>
      </c>
      <c r="BG55" s="96" t="str">
        <f>IF(OR(Matriz_Riesgos[[#This Row],[Suma Residual redondeada (AUX)]]="",Matriz_Riesgos[[#This Row],[F_base (AUX)]]="",Matriz_Riesgos[[#This Row],[I_base (AUX)]]=""),"",MAX(0,Matriz_Riesgos[[#This Row],[Suma Residual redondeada (AUX)]]-(Matriz_Riesgos[[#This Row],[F_base (AUX)]]+Matriz_Riesgos[[#This Row],[I_base (AUX)]])))</f>
        <v/>
      </c>
      <c r="BH55" s="96" t="str">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
      </c>
      <c r="BI55" s="96" t="str">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
      </c>
      <c r="BJ55" s="96" t="str">
        <f>IF(OR(Matriz_Riesgos[[#This Row],[Resto (AUX)]]="",Matriz_Riesgos[[#This Row],[Capacidad F (AUX)]]="",Matriz_Riesgos[[#This Row],[Inc_I (AUX)]]=""),"",MIN(Matriz_Riesgos[[#This Row],[Capacidad F (AUX)]], MAX(0,Matriz_Riesgos[[#This Row],[Resto (AUX)]]-Matriz_Riesgos[[#This Row],[Inc_I (AUX)]])))</f>
        <v/>
      </c>
      <c r="BK55" s="96" t="str">
        <f>IFERROR(MAX(ROUND(Matriz_Riesgos[[#This Row],[Frecuencia Residual (AUX)]]+Matriz_Riesgos[[#This Row],[Impacto Residual (AUX)]]-1+Matriz_Riesgos[[#This Row],[Efectividad Total Ponderada de los Controles]],0),1),"")</f>
        <v/>
      </c>
      <c r="BL55" s="96" t="str">
        <f>IFERROR(Matriz_Riesgos[[#This Row],[Valor del Riesgo Residual]]-Matriz_Riesgos[[#This Row],[Valor del Riesgo Residual (AUX)]],"")</f>
        <v/>
      </c>
      <c r="BM55" s="96" t="str">
        <f>IFERROR(Matriz_Riesgos[[#This Row],[Frecuencia Residual]]+Matriz_Riesgos[[#This Row],[Impacto Residual]]-1,"")</f>
        <v/>
      </c>
      <c r="BN55" s="96" t="str">
        <f>IFERROR(Matriz_Riesgos[[#This Row],[Valor del Riesgo Residual]]-Matriz_Riesgos[[#This Row],[VRR 2]],"")</f>
        <v/>
      </c>
      <c r="BO55" s="96" t="str">
        <f>IFERROR(Matriz_Riesgos[[#This Row],[Frecuencia]]-Matriz_Riesgos[[#This Row],[Frecuencia Residual]],"")</f>
        <v/>
      </c>
      <c r="BP55" s="96" t="str">
        <f>IFERROR(Matriz_Riesgos[[#This Row],[Impacto]]-Matriz_Riesgos[[#This Row],[Impacto Residual]],"")</f>
        <v/>
      </c>
      <c r="BQ55" s="96" t="str">
        <f>IFERROR(Matriz_Riesgos[[#This Row],[Valor del Riesgo Inherente]]-Matriz_Riesgos[[#This Row],[Valor del Riesgo Residual]],"")</f>
        <v/>
      </c>
      <c r="BR55" s="4"/>
      <c r="BS55" s="4"/>
      <c r="BT55" s="4"/>
      <c r="BU55" s="9"/>
      <c r="BV55" s="9"/>
      <c r="BW55" s="9"/>
      <c r="BX55" s="4"/>
      <c r="BY55" s="4"/>
      <c r="BZ55" s="4"/>
      <c r="CA55" s="4"/>
      <c r="CB55" s="4"/>
      <c r="CC55" s="4"/>
      <c r="CD55" s="4"/>
    </row>
    <row r="56" spans="1:75" ht="72" customHeight="1">
      <c r="A56" s="33">
        <v>55</v>
      </c>
      <c r="B56" s="37" t="inlineStr">
        <is>
          <t>ROP-CUMP-55</t>
        </is>
      </c>
      <c r="C56" s="4" t="inlineStr">
        <is>
          <t>Sección de Cumplimiento</t>
        </is>
      </c>
      <c r="D56" s="25" t="inlineStr">
        <is>
          <t>Sección de Cumplimiento</t>
        </is>
      </c>
      <c r="E56" s="36" t="inlineStr">
        <is>
          <t>Operativo</t>
        </is>
      </c>
      <c r="F56" s="4" t="inlineStr">
        <is>
          <t>Politica conozca a su proveedor</t>
        </is>
      </c>
      <c r="G56" s="6" t="inlineStr">
        <is>
          <t xml:space="preserve">Suficiencia y sostenibilidad del Régimen de Invalidez, Vejez y Muerte.
Entrega oportuna de los beneficios a los asegurados.</t>
        </is>
      </c>
      <c r="H56" s="4" t="inlineStr">
        <is>
          <t>Inexistencia de un sistema de calificación de Riesgos de Proveedores</t>
        </is>
      </c>
      <c r="I56" s="98" t="inlineStr">
        <is>
          <t xml:space="preserve">Descripción: Para implementar la Metodología de Calificación de Riesgos de Proveedores es necesario contar con un sistema de Gestion de Riesgos
Causas: Falta de Recursos Tecnico para el desarrollo de sistema
Efecto: incumplimiento normativo</t>
        </is>
      </c>
      <c r="J56" s="25">
        <v>4</v>
      </c>
      <c r="K56" s="25">
        <v>4</v>
      </c>
      <c r="L56" s="37" t="str">
        <f>IF((Matriz_Riesgos[[#This Row],[Frecuencia]]+Matriz_Riesgos[[#This Row],[Impacto]]-1)=-1,"",Matriz_Riesgos[[#This Row],[Frecuencia]]+Matriz_Riesgos[[#This Row],[Impacto]]-1)</f>
      </c>
      <c r="M56" s="37" t="str">
        <f>IFERROR(VLOOKUP(Matriz_Riesgos[[#This Row],[Valor del Riesgo Inherente]],t_nivel_riesgo[],2,FALSE), "")</f>
      </c>
      <c r="N56" s="4" t="inlineStr">
        <is>
          <t>Seccion de Cumplimiento</t>
        </is>
      </c>
      <c r="O56" s="25" t="inlineStr">
        <is>
          <t>Todos</t>
        </is>
      </c>
      <c r="P56" s="4" t="inlineStr">
        <is>
          <t>Riesgo de Cumplimiento</t>
        </is>
      </c>
      <c r="Q56" s="64"/>
      <c r="R56" s="64"/>
      <c r="S56" s="64"/>
      <c r="T56" s="98" t="inlineStr">
        <is>
          <t>Preventivo: Requerimientos de desarrollo de Sistema a la Gerencia de Tecnologias de la Información y Comunicaciones (GTIC)</t>
        </is>
      </c>
      <c r="U56" s="55" t="inlineStr">
        <is>
          <t>Inefectivo</t>
        </is>
      </c>
      <c r="V56" s="37" t="str">
        <f>IFERROR(VLOOKUP(Matriz_Riesgos[[#This Row],[Escala de efectividad de control(es) preventivo(s)]],t_efectividad[],2,FALSE),"")</f>
      </c>
      <c r="W56" s="40" t="str">
        <f>IFERROR(VLOOKUP(Matriz_Riesgos[[#This Row],[Escala de efectividad de control(es) preventivo(s)]],t_efectividad[],3,FALSE),"")</f>
      </c>
      <c r="X56" s="4" t="inlineStr">
        <is>
          <t>No hay</t>
        </is>
      </c>
      <c r="Y56" s="55" t="inlineStr">
        <is>
          <t>Inexistente</t>
        </is>
      </c>
      <c r="Z56" s="37" t="str">
        <f>IFERROR(VLOOKUP(Matriz_Riesgos[[#This Row],[Escala de efectividad de control(es) detectivo(s)]],t_efectividad[],2,FALSE),"")</f>
      </c>
      <c r="AA56" s="57" t="str">
        <f>IFERROR(VLOOKUP(Matriz_Riesgos[[#This Row],[Escala de efectividad de control(es) detectivo(s)]],t_efectividad[],3,FALSE),"")</f>
      </c>
      <c r="AB56" s="4" t="inlineStr">
        <is>
          <t>No hay</t>
        </is>
      </c>
      <c r="AC56" s="55" t="inlineStr">
        <is>
          <t>Inexistente</t>
        </is>
      </c>
      <c r="AD56" s="37" t="str">
        <f>IFERROR(VLOOKUP(Matriz_Riesgos[[#This Row],[Escala de efectividad de control(es) correctivo(s)]],t_efectividad[],2,FALSE),"")</f>
      </c>
      <c r="AE56" s="40" t="str">
        <f>IFERROR(VLOOKUP(Matriz_Riesgos[[#This Row],[Escala de efectividad de control(es) correctivo(s)]],t_efectividad[],3,FALSE),"")</f>
      </c>
      <c r="AF56" s="25" t="inlineStr">
        <is>
          <t>Manual</t>
        </is>
      </c>
      <c r="AG56" s="66">
        <f>IF(AND(T56="",X56="",AB56=""),"",('Otras Tablas'!$B$3*IF(W56="",0,W56)+'Otras Tablas'!$B$4*IF(AA56="",0,AA56)+'Otras Tablas'!$B$5*IF(AE56="",0,AE56)))</f>
      </c>
      <c r="AH56" s="102" t="str">
        <f>IF(Matriz_Riesgos[[#This Row],[Riesgo Inherente]]="","",Matriz_Riesgos[[#This Row],[Riesgo Inherente]])</f>
      </c>
      <c r="AI56"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c>
      <c r="AJ56"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c>
      <c r="AK56" s="102" t="str">
        <f>IFERROR(ROUND(MAX(1,Matriz_Riesgos[[#This Row],[Valor del Riesgo Inherente]]*(1 - Matriz_Riesgos[[#This Row],[Efectividad Total Ponderada de los Controles]])),0), "")</f>
      </c>
      <c r="AL56" s="102" t="str">
        <f>IFERROR(VLOOKUP(Matriz_Riesgos[[#This Row],[Valor del Riesgo Residual]],t_nivel_riesgo[],2,FALSE),"")</f>
      </c>
      <c r="AM56" s="25" t="inlineStr">
        <is>
          <t xml:space="preserve">Mitigar </t>
        </is>
      </c>
      <c r="AN56" s="6"/>
      <c r="AO56" s="4"/>
      <c r="AP56" s="6"/>
      <c r="AQ56" s="4"/>
      <c r="AR56" s="4"/>
      <c r="AS56" s="4"/>
      <c r="AT56" s="32"/>
      <c r="AU56" s="32"/>
      <c r="AV56" s="4"/>
      <c r="AW56" s="4"/>
      <c r="AX56" s="96" t="str">
        <f>IFERROR((1-Matriz_Riesgos[[#This Row],[Efectividad Total Ponderada de los Controles]])*Matriz_Riesgos[[#This Row],[Frecuencia]],"")</f>
        <v/>
      </c>
      <c r="AY56" s="96" t="str">
        <f>IFERROR((1-Matriz_Riesgos[[#This Row],[Efectividad Total Ponderada de los Controles]])*Matriz_Riesgos[[#This Row],[Impacto]],"")</f>
        <v/>
      </c>
      <c r="AZ56" s="96" t="str">
        <f>IFERROR(Matriz_Riesgos[[#This Row],[Valor del Riesgo Residual]] + 1, "")</f>
        <v/>
      </c>
      <c r="BA56" s="96" t="str">
        <f>IFERROR(MAX(1, ROUNDDOWN(Matriz_Riesgos[[#This Row],[Frecuencia Residual (AUX)]],0)),"")</f>
        <v/>
      </c>
      <c r="BB56" s="96" t="str">
        <f>IFERROR(MAX(1, ROUNDDOWN(Matriz_Riesgos[[#This Row],[Impacto Residual (AUX)]],0)),"")</f>
        <v/>
      </c>
      <c r="BC56" s="96" t="str">
        <f>IF(Matriz_Riesgos[[#This Row],[Frecuencia]]="","",Matriz_Riesgos[[#This Row],[Frecuencia]])</f>
        <v/>
      </c>
      <c r="BD56" s="96" t="str">
        <f>IF(Matriz_Riesgos[[#This Row],[Impacto]]="","",Matriz_Riesgos[[#This Row],[Impacto]])</f>
        <v/>
      </c>
      <c r="BE56" s="96" t="str">
        <f>IF(OR(Matriz_Riesgos[[#This Row],[Tope F (AUX)]]="",Matriz_Riesgos[[#This Row],[F_base (AUX)]]=""),"",MAX(0,Matriz_Riesgos[[#This Row],[Tope F (AUX)]]-Matriz_Riesgos[[#This Row],[F_base (AUX)]]))</f>
        <v/>
      </c>
      <c r="BF56" s="96" t="str">
        <f>IF(OR(Matriz_Riesgos[[#This Row],[Tope I (AUX)]]="",Matriz_Riesgos[[#This Row],[I_base (AUX)]]=""),"",MAX(0,Matriz_Riesgos[[#This Row],[Tope I (AUX)]]-Matriz_Riesgos[[#This Row],[I_base (AUX)]]))</f>
        <v/>
      </c>
      <c r="BG56" s="96" t="str">
        <f>IF(OR(Matriz_Riesgos[[#This Row],[Suma Residual redondeada (AUX)]]="",Matriz_Riesgos[[#This Row],[F_base (AUX)]]="",Matriz_Riesgos[[#This Row],[I_base (AUX)]]=""),"",MAX(0,Matriz_Riesgos[[#This Row],[Suma Residual redondeada (AUX)]]-(Matriz_Riesgos[[#This Row],[F_base (AUX)]]+Matriz_Riesgos[[#This Row],[I_base (AUX)]])))</f>
        <v/>
      </c>
      <c r="BH56" s="96" t="str">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
      </c>
      <c r="BI56" s="96" t="str">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
      </c>
      <c r="BJ56" s="96" t="str">
        <f>IF(OR(Matriz_Riesgos[[#This Row],[Resto (AUX)]]="",Matriz_Riesgos[[#This Row],[Capacidad F (AUX)]]="",Matriz_Riesgos[[#This Row],[Inc_I (AUX)]]=""),"",MIN(Matriz_Riesgos[[#This Row],[Capacidad F (AUX)]], MAX(0,Matriz_Riesgos[[#This Row],[Resto (AUX)]]-Matriz_Riesgos[[#This Row],[Inc_I (AUX)]])))</f>
        <v/>
      </c>
      <c r="BK56" s="96" t="str">
        <f>IFERROR(MAX(ROUND(Matriz_Riesgos[[#This Row],[Frecuencia Residual (AUX)]]+Matriz_Riesgos[[#This Row],[Impacto Residual (AUX)]]-1+Matriz_Riesgos[[#This Row],[Efectividad Total Ponderada de los Controles]],0),1),"")</f>
        <v/>
      </c>
      <c r="BL56" s="96" t="str">
        <f>IFERROR(Matriz_Riesgos[[#This Row],[Valor del Riesgo Residual]]-Matriz_Riesgos[[#This Row],[Valor del Riesgo Residual (AUX)]],"")</f>
        <v/>
      </c>
      <c r="BM56" s="96" t="str">
        <f>IFERROR(Matriz_Riesgos[[#This Row],[Frecuencia Residual]]+Matriz_Riesgos[[#This Row],[Impacto Residual]]-1,"")</f>
        <v/>
      </c>
      <c r="BN56" s="96" t="str">
        <f>IFERROR(Matriz_Riesgos[[#This Row],[Valor del Riesgo Residual]]-Matriz_Riesgos[[#This Row],[VRR 2]],"")</f>
        <v/>
      </c>
      <c r="BO56" s="96" t="str">
        <f>IFERROR(Matriz_Riesgos[[#This Row],[Frecuencia]]-Matriz_Riesgos[[#This Row],[Frecuencia Residual]],"")</f>
        <v/>
      </c>
      <c r="BP56" s="96" t="str">
        <f>IFERROR(Matriz_Riesgos[[#This Row],[Impacto]]-Matriz_Riesgos[[#This Row],[Impacto Residual]],"")</f>
        <v/>
      </c>
      <c r="BQ56" s="96" t="str">
        <f>IFERROR(Matriz_Riesgos[[#This Row],[Valor del Riesgo Inherente]]-Matriz_Riesgos[[#This Row],[Valor del Riesgo Residual]],"")</f>
        <v/>
      </c>
      <c r="BR56" s="4"/>
      <c r="BS56" s="4"/>
      <c r="BT56" s="4"/>
      <c r="BU56" s="9"/>
      <c r="BV56" s="9"/>
      <c r="BW56" s="9"/>
      <c r="BX56" s="4"/>
      <c r="BY56" s="4"/>
      <c r="BZ56" s="4"/>
      <c r="CA56" s="4"/>
      <c r="CB56" s="4"/>
      <c r="CC56" s="4"/>
      <c r="CD56" s="4"/>
    </row>
    <row r="57" spans="1:75" ht="108" customHeight="1">
      <c r="A57" s="33">
        <v>56</v>
      </c>
      <c r="B57" s="37" t="inlineStr">
        <is>
          <t>ROP-CUMP-56</t>
        </is>
      </c>
      <c r="C57" s="4" t="inlineStr">
        <is>
          <t>Sección de Cumplimiento</t>
        </is>
      </c>
      <c r="D57" s="25" t="inlineStr">
        <is>
          <t>Sección de Cumplimiento</t>
        </is>
      </c>
      <c r="E57" s="36" t="inlineStr">
        <is>
          <t>Operativo</t>
        </is>
      </c>
      <c r="F57" s="4" t="inlineStr">
        <is>
          <t>Politica conozca a su proveedor</t>
        </is>
      </c>
      <c r="G57" s="6" t="inlineStr">
        <is>
          <t xml:space="preserve">Suficiencia y sostenibilidad del Régimen de Invalidez, Vejez y Muerte.
Entrega oportuna de los beneficios a los asegurados.</t>
        </is>
      </c>
      <c r="H57" s="4" t="inlineStr">
        <is>
          <t>Expedientes de Proveedores inexistentes o incompletos</t>
        </is>
      </c>
      <c r="I57" s="98" t="inlineStr">
        <is>
          <t xml:space="preserve">Descripción: La sección de cumplimiento vigila el cumplimiento de la polita Conozca a su Proveedor. Actualmente no se encuentran actualizados todos los expedientes de proveedores de acuerdo a la politica.
Causas: Posible falta de depuración de base de datos y posible falta de recurso humano que realice la gestion de actualización de expedientes 
Efecto: Incumplimiento a la normativa </t>
        </is>
      </c>
      <c r="J57" s="25">
        <v>4</v>
      </c>
      <c r="K57" s="25">
        <v>4</v>
      </c>
      <c r="L57" s="37" t="str">
        <f>IF((Matriz_Riesgos[[#This Row],[Frecuencia]]+Matriz_Riesgos[[#This Row],[Impacto]]-1)=-1,"",Matriz_Riesgos[[#This Row],[Frecuencia]]+Matriz_Riesgos[[#This Row],[Impacto]]-1)</f>
      </c>
      <c r="M57" s="37" t="str">
        <f>IFERROR(VLOOKUP(Matriz_Riesgos[[#This Row],[Valor del Riesgo Inherente]],t_nivel_riesgo[],2,FALSE), "")</f>
      </c>
      <c r="N57" s="4" t="inlineStr">
        <is>
          <t>Sub-Gerencia de Suministros, Materiales y Compras</t>
        </is>
      </c>
      <c r="O57" s="25" t="inlineStr">
        <is>
          <t>Todos</t>
        </is>
      </c>
      <c r="P57" s="4" t="inlineStr">
        <is>
          <t>Riesgo de Cumplimiento</t>
        </is>
      </c>
      <c r="Q57" s="64"/>
      <c r="R57" s="64"/>
      <c r="S57" s="64"/>
      <c r="T57" s="98" t="inlineStr">
        <is>
          <t>Preventivo: Política Conozca a su Proveedor Aprobada y Socializada y capacitaciones periodicas por parte de la Sección de Cumplimiento</t>
        </is>
      </c>
      <c r="U57" s="55" t="inlineStr">
        <is>
          <t>Razonable</t>
        </is>
      </c>
      <c r="V57" s="37" t="str">
        <f>IFERROR(VLOOKUP(Matriz_Riesgos[[#This Row],[Escala de efectividad de control(es) preventivo(s)]],t_efectividad[],2,FALSE),"")</f>
      </c>
      <c r="W57" s="40" t="str">
        <f>IFERROR(VLOOKUP(Matriz_Riesgos[[#This Row],[Escala de efectividad de control(es) preventivo(s)]],t_efectividad[],3,FALSE),"")</f>
      </c>
      <c r="X57" s="4" t="inlineStr">
        <is>
          <t xml:space="preserve">Detectivo: Proceso de revisión aleatoria de expedientes de proveedores por parte de la Sección de Cumplimiento </t>
        </is>
      </c>
      <c r="Y57" s="55" t="inlineStr">
        <is>
          <t>Razonable</t>
        </is>
      </c>
      <c r="Z57" s="37" t="str">
        <f>IFERROR(VLOOKUP(Matriz_Riesgos[[#This Row],[Escala de efectividad de control(es) detectivo(s)]],t_efectividad[],2,FALSE),"")</f>
      </c>
      <c r="AA57" s="57" t="str">
        <f>IFERROR(VLOOKUP(Matriz_Riesgos[[#This Row],[Escala de efectividad de control(es) detectivo(s)]],t_efectividad[],3,FALSE),"")</f>
      </c>
      <c r="AB57" s="4" t="inlineStr">
        <is>
          <t>Correctivo: Presentación de Informes por parte de la Sección de Cumplimiento  al Comité de Cumplimiento y Maxima Autoridad Institucional con las recomendaciones pertinentes</t>
        </is>
      </c>
      <c r="AC57" s="55" t="inlineStr">
        <is>
          <t>Razonable</t>
        </is>
      </c>
      <c r="AD57" s="37" t="str">
        <f>IFERROR(VLOOKUP(Matriz_Riesgos[[#This Row],[Escala de efectividad de control(es) correctivo(s)]],t_efectividad[],2,FALSE),"")</f>
      </c>
      <c r="AE57" s="40" t="str">
        <f>IFERROR(VLOOKUP(Matriz_Riesgos[[#This Row],[Escala de efectividad de control(es) correctivo(s)]],t_efectividad[],3,FALSE),"")</f>
      </c>
      <c r="AF57" s="25" t="inlineStr">
        <is>
          <t>Manual</t>
        </is>
      </c>
      <c r="AG57" s="66">
        <f>IF(AND(T57="",X57="",AB57=""),"",('Otras Tablas'!$B$3*IF(W57="",0,W57)+'Otras Tablas'!$B$4*IF(AA57="",0,AA57)+'Otras Tablas'!$B$5*IF(AE57="",0,AE57)))</f>
      </c>
      <c r="AH57" s="102" t="str">
        <f>IF(Matriz_Riesgos[[#This Row],[Riesgo Inherente]]="","",Matriz_Riesgos[[#This Row],[Riesgo Inherente]])</f>
      </c>
      <c r="AI57"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c>
      <c r="AJ57"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c>
      <c r="AK57" s="102" t="str">
        <f>IFERROR(ROUND(MAX(1,Matriz_Riesgos[[#This Row],[Valor del Riesgo Inherente]]*(1 - Matriz_Riesgos[[#This Row],[Efectividad Total Ponderada de los Controles]])),0), "")</f>
      </c>
      <c r="AL57" s="102" t="str">
        <f>IFERROR(VLOOKUP(Matriz_Riesgos[[#This Row],[Valor del Riesgo Residual]],t_nivel_riesgo[],2,FALSE),"")</f>
      </c>
      <c r="AM57" s="25" t="inlineStr">
        <is>
          <t>Aceptar</t>
        </is>
      </c>
      <c r="AN57" s="6"/>
      <c r="AO57" s="4"/>
      <c r="AP57" s="6"/>
      <c r="AQ57" s="4"/>
      <c r="AR57" s="4"/>
      <c r="AS57" s="4"/>
      <c r="AT57" s="32"/>
      <c r="AU57" s="32"/>
      <c r="AV57" s="4"/>
      <c r="AW57" s="4"/>
      <c r="AX57" s="96" t="str">
        <f>IFERROR((1-Matriz_Riesgos[[#This Row],[Efectividad Total Ponderada de los Controles]])*Matriz_Riesgos[[#This Row],[Frecuencia]],"")</f>
        <v/>
      </c>
      <c r="AY57" s="96" t="str">
        <f>IFERROR((1-Matriz_Riesgos[[#This Row],[Efectividad Total Ponderada de los Controles]])*Matriz_Riesgos[[#This Row],[Impacto]],"")</f>
        <v/>
      </c>
      <c r="AZ57" s="96" t="str">
        <f>IFERROR(Matriz_Riesgos[[#This Row],[Valor del Riesgo Residual]] + 1, "")</f>
        <v/>
      </c>
      <c r="BA57" s="96" t="str">
        <f>IFERROR(MAX(1, ROUNDDOWN(Matriz_Riesgos[[#This Row],[Frecuencia Residual (AUX)]],0)),"")</f>
        <v/>
      </c>
      <c r="BB57" s="96" t="str">
        <f>IFERROR(MAX(1, ROUNDDOWN(Matriz_Riesgos[[#This Row],[Impacto Residual (AUX)]],0)),"")</f>
        <v/>
      </c>
      <c r="BC57" s="96" t="str">
        <f>IF(Matriz_Riesgos[[#This Row],[Frecuencia]]="","",Matriz_Riesgos[[#This Row],[Frecuencia]])</f>
        <v/>
      </c>
      <c r="BD57" s="96" t="str">
        <f>IF(Matriz_Riesgos[[#This Row],[Impacto]]="","",Matriz_Riesgos[[#This Row],[Impacto]])</f>
        <v/>
      </c>
      <c r="BE57" s="96" t="str">
        <f>IF(OR(Matriz_Riesgos[[#This Row],[Tope F (AUX)]]="",Matriz_Riesgos[[#This Row],[F_base (AUX)]]=""),"",MAX(0,Matriz_Riesgos[[#This Row],[Tope F (AUX)]]-Matriz_Riesgos[[#This Row],[F_base (AUX)]]))</f>
        <v/>
      </c>
      <c r="BF57" s="96" t="str">
        <f>IF(OR(Matriz_Riesgos[[#This Row],[Tope I (AUX)]]="",Matriz_Riesgos[[#This Row],[I_base (AUX)]]=""),"",MAX(0,Matriz_Riesgos[[#This Row],[Tope I (AUX)]]-Matriz_Riesgos[[#This Row],[I_base (AUX)]]))</f>
        <v/>
      </c>
      <c r="BG57" s="96" t="str">
        <f>IF(OR(Matriz_Riesgos[[#This Row],[Suma Residual redondeada (AUX)]]="",Matriz_Riesgos[[#This Row],[F_base (AUX)]]="",Matriz_Riesgos[[#This Row],[I_base (AUX)]]=""),"",MAX(0,Matriz_Riesgos[[#This Row],[Suma Residual redondeada (AUX)]]-(Matriz_Riesgos[[#This Row],[F_base (AUX)]]+Matriz_Riesgos[[#This Row],[I_base (AUX)]])))</f>
        <v/>
      </c>
      <c r="BH57" s="96" t="str">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
      </c>
      <c r="BI57" s="96" t="str">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
      </c>
      <c r="BJ57" s="96" t="str">
        <f>IF(OR(Matriz_Riesgos[[#This Row],[Resto (AUX)]]="",Matriz_Riesgos[[#This Row],[Capacidad F (AUX)]]="",Matriz_Riesgos[[#This Row],[Inc_I (AUX)]]=""),"",MIN(Matriz_Riesgos[[#This Row],[Capacidad F (AUX)]], MAX(0,Matriz_Riesgos[[#This Row],[Resto (AUX)]]-Matriz_Riesgos[[#This Row],[Inc_I (AUX)]])))</f>
        <v/>
      </c>
      <c r="BK57" s="96" t="str">
        <f>IFERROR(MAX(ROUND(Matriz_Riesgos[[#This Row],[Frecuencia Residual (AUX)]]+Matriz_Riesgos[[#This Row],[Impacto Residual (AUX)]]-1+Matriz_Riesgos[[#This Row],[Efectividad Total Ponderada de los Controles]],0),1),"")</f>
        <v/>
      </c>
      <c r="BL57" s="96" t="str">
        <f>IFERROR(Matriz_Riesgos[[#This Row],[Valor del Riesgo Residual]]-Matriz_Riesgos[[#This Row],[Valor del Riesgo Residual (AUX)]],"")</f>
        <v/>
      </c>
      <c r="BM57" s="96" t="str">
        <f>IFERROR(Matriz_Riesgos[[#This Row],[Frecuencia Residual]]+Matriz_Riesgos[[#This Row],[Impacto Residual]]-1,"")</f>
        <v/>
      </c>
      <c r="BN57" s="96" t="str">
        <f>IFERROR(Matriz_Riesgos[[#This Row],[Valor del Riesgo Residual]]-Matriz_Riesgos[[#This Row],[VRR 2]],"")</f>
        <v/>
      </c>
      <c r="BO57" s="96" t="str">
        <f>IFERROR(Matriz_Riesgos[[#This Row],[Frecuencia]]-Matriz_Riesgos[[#This Row],[Frecuencia Residual]],"")</f>
        <v/>
      </c>
      <c r="BP57" s="96" t="str">
        <f>IFERROR(Matriz_Riesgos[[#This Row],[Impacto]]-Matriz_Riesgos[[#This Row],[Impacto Residual]],"")</f>
        <v/>
      </c>
      <c r="BQ57" s="96" t="str">
        <f>IFERROR(Matriz_Riesgos[[#This Row],[Valor del Riesgo Inherente]]-Matriz_Riesgos[[#This Row],[Valor del Riesgo Residual]],"")</f>
        <v/>
      </c>
      <c r="BR57" s="4"/>
      <c r="BS57" s="4"/>
      <c r="BT57" s="4"/>
      <c r="BU57" s="9"/>
      <c r="BV57" s="9"/>
      <c r="BW57" s="9"/>
      <c r="BX57" s="4"/>
      <c r="BY57" s="4"/>
      <c r="BZ57" s="4"/>
      <c r="CA57" s="4"/>
      <c r="CB57" s="4"/>
      <c r="CC57" s="4"/>
      <c r="CD57" s="4"/>
    </row>
    <row r="58" spans="1:75" ht="108" customHeight="1">
      <c r="A58" s="33">
        <v>57</v>
      </c>
      <c r="B58" s="37" t="inlineStr">
        <is>
          <t>ROP-CUMP-57</t>
        </is>
      </c>
      <c r="C58" s="4" t="inlineStr">
        <is>
          <t>Sección de Cumplimiento</t>
        </is>
      </c>
      <c r="D58" s="25" t="inlineStr">
        <is>
          <t>Sección de Cumplimiento</t>
        </is>
      </c>
      <c r="E58" s="36" t="inlineStr">
        <is>
          <t>Operativo</t>
        </is>
      </c>
      <c r="F58" s="4" t="inlineStr">
        <is>
          <t>Politica Conozca a su cliente</t>
        </is>
      </c>
      <c r="G58" s="6" t="inlineStr">
        <is>
          <t xml:space="preserve">Suficiencia y sostenibilidad del Régimen de Invalidez, Vejez y Muerte.
Entrega oportuna de los beneficios a los asegurados.</t>
        </is>
      </c>
      <c r="H58" s="4" t="inlineStr">
        <is>
          <t>Expedientes de Clientes ( Patronos) inexistentes o incompletos</t>
        </is>
      </c>
      <c r="I58" s="98" t="inlineStr">
        <is>
          <t xml:space="preserve">Descripción:  La sección de cumplimiento vigila el cumplimiento de la polita Conozca a su Cliente. Actualmente no se encuentran actualizados todos los expedientes de clientes de acuerdo a la politica.
Causas: Problemas de comunicación con los clientes, falta de personal en las áreas encargadas de ejecuar la politica para dar seguimiento a los clientes.
Efecto: Incumplimiento de normativa.</t>
        </is>
      </c>
      <c r="J58" s="25">
        <v>4</v>
      </c>
      <c r="K58" s="25">
        <v>4</v>
      </c>
      <c r="L58" s="37" t="str">
        <f>IF((Matriz_Riesgos[[#This Row],[Frecuencia]]+Matriz_Riesgos[[#This Row],[Impacto]]-1)=-1,"",Matriz_Riesgos[[#This Row],[Frecuencia]]+Matriz_Riesgos[[#This Row],[Impacto]]-1)</f>
      </c>
      <c r="M58" s="37" t="str">
        <f>IFERROR(VLOOKUP(Matriz_Riesgos[[#This Row],[Valor del Riesgo Inherente]],t_nivel_riesgo[],2,FALSE), "")</f>
      </c>
      <c r="N58" s="4" t="inlineStr">
        <is>
          <t xml:space="preserve">Control Patronal </t>
        </is>
      </c>
      <c r="O58" s="25" t="inlineStr">
        <is>
          <t>Todos</t>
        </is>
      </c>
      <c r="P58" s="4" t="inlineStr">
        <is>
          <t>Riesgo de Cumplimiento</t>
        </is>
      </c>
      <c r="Q58" s="64"/>
      <c r="R58" s="64"/>
      <c r="S58" s="64"/>
      <c r="T58" s="98" t="inlineStr">
        <is>
          <t xml:space="preserve">
Preventivo: Política Conozca a su Cliente y Política Para Operar con Personas Expuestas Políticamente Aprobada y Socializada y capacitaciones periodicas por parte de la Sección de Cumplimiento, Sistema de Datos Normativos del Patrono (DNP)</t>
        </is>
      </c>
      <c r="U58" s="55" t="inlineStr">
        <is>
          <t>Parcialmente Efectivo</t>
        </is>
      </c>
      <c r="V58" s="37" t="str">
        <f>IFERROR(VLOOKUP(Matriz_Riesgos[[#This Row],[Escala de efectividad de control(es) preventivo(s)]],t_efectividad[],2,FALSE),"")</f>
      </c>
      <c r="W58" s="40" t="str">
        <f>IFERROR(VLOOKUP(Matriz_Riesgos[[#This Row],[Escala de efectividad de control(es) preventivo(s)]],t_efectividad[],3,FALSE),"")</f>
      </c>
      <c r="X58" s="4" t="inlineStr">
        <is>
          <t xml:space="preserve">Detectivo: Proceso de revisión aleatoria de expedientes de clintes por parte de la Sección de Cumplimiento </t>
        </is>
      </c>
      <c r="Y58" s="55" t="inlineStr">
        <is>
          <t>Parcialmente Efectivo</t>
        </is>
      </c>
      <c r="Z58" s="37" t="str">
        <f>IFERROR(VLOOKUP(Matriz_Riesgos[[#This Row],[Escala de efectividad de control(es) detectivo(s)]],t_efectividad[],2,FALSE),"")</f>
      </c>
      <c r="AA58" s="57" t="str">
        <f>IFERROR(VLOOKUP(Matriz_Riesgos[[#This Row],[Escala de efectividad de control(es) detectivo(s)]],t_efectividad[],3,FALSE),"")</f>
      </c>
      <c r="AB58" s="4" t="inlineStr">
        <is>
          <t xml:space="preserve">
Correctivo: Presentación de Informes por parte de la Sección de Cumplimiento  al Comité de Cumplimiento y Maxima Autoridad Institucional con las recomendaciones pertinentes</t>
        </is>
      </c>
      <c r="AC58" s="55" t="inlineStr">
        <is>
          <t>Parcialmente Efectivo</t>
        </is>
      </c>
      <c r="AD58" s="37" t="str">
        <f>IFERROR(VLOOKUP(Matriz_Riesgos[[#This Row],[Escala de efectividad de control(es) correctivo(s)]],t_efectividad[],2,FALSE),"")</f>
      </c>
      <c r="AE58" s="40" t="str">
        <f>IFERROR(VLOOKUP(Matriz_Riesgos[[#This Row],[Escala de efectividad de control(es) correctivo(s)]],t_efectividad[],3,FALSE),"")</f>
      </c>
      <c r="AF58" s="25" t="inlineStr">
        <is>
          <t>Semiautomatizado</t>
        </is>
      </c>
      <c r="AG58" s="66">
        <f>IF(AND(T58="",X58="",AB58=""),"",('Otras Tablas'!$B$3*IF(W58="",0,W58)+'Otras Tablas'!$B$4*IF(AA58="",0,AA58)+'Otras Tablas'!$B$5*IF(AE58="",0,AE58)))</f>
      </c>
      <c r="AH58" s="102" t="str">
        <f>IF(Matriz_Riesgos[[#This Row],[Riesgo Inherente]]="","",Matriz_Riesgos[[#This Row],[Riesgo Inherente]])</f>
      </c>
      <c r="AI58"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c>
      <c r="AJ58"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c>
      <c r="AK58" s="102" t="str">
        <f>IFERROR(ROUND(MAX(1,Matriz_Riesgos[[#This Row],[Valor del Riesgo Inherente]]*(1 - Matriz_Riesgos[[#This Row],[Efectividad Total Ponderada de los Controles]])),0), "")</f>
      </c>
      <c r="AL58" s="102" t="str">
        <f>IFERROR(VLOOKUP(Matriz_Riesgos[[#This Row],[Valor del Riesgo Residual]],t_nivel_riesgo[],2,FALSE),"")</f>
      </c>
      <c r="AM58" s="25" t="inlineStr">
        <is>
          <t>Aceptar</t>
        </is>
      </c>
      <c r="AN58" s="6"/>
      <c r="AO58" s="4"/>
      <c r="AP58" s="6"/>
      <c r="AQ58" s="4"/>
      <c r="AR58" s="4"/>
      <c r="AS58" s="4"/>
      <c r="AT58" s="32"/>
      <c r="AU58" s="32"/>
      <c r="AV58" s="4"/>
      <c r="AW58" s="4"/>
      <c r="AX58" s="96" t="str">
        <f>IFERROR((1-Matriz_Riesgos[[#This Row],[Efectividad Total Ponderada de los Controles]])*Matriz_Riesgos[[#This Row],[Frecuencia]],"")</f>
        <v/>
      </c>
      <c r="AY58" s="96" t="str">
        <f>IFERROR((1-Matriz_Riesgos[[#This Row],[Efectividad Total Ponderada de los Controles]])*Matriz_Riesgos[[#This Row],[Impacto]],"")</f>
        <v/>
      </c>
      <c r="AZ58" s="96" t="str">
        <f>IFERROR(Matriz_Riesgos[[#This Row],[Valor del Riesgo Residual]] + 1, "")</f>
        <v/>
      </c>
      <c r="BA58" s="96" t="str">
        <f>IFERROR(MAX(1, ROUNDDOWN(Matriz_Riesgos[[#This Row],[Frecuencia Residual (AUX)]],0)),"")</f>
        <v/>
      </c>
      <c r="BB58" s="96" t="str">
        <f>IFERROR(MAX(1, ROUNDDOWN(Matriz_Riesgos[[#This Row],[Impacto Residual (AUX)]],0)),"")</f>
        <v/>
      </c>
      <c r="BC58" s="96" t="str">
        <f>IF(Matriz_Riesgos[[#This Row],[Frecuencia]]="","",Matriz_Riesgos[[#This Row],[Frecuencia]])</f>
        <v/>
      </c>
      <c r="BD58" s="96" t="str">
        <f>IF(Matriz_Riesgos[[#This Row],[Impacto]]="","",Matriz_Riesgos[[#This Row],[Impacto]])</f>
        <v/>
      </c>
      <c r="BE58" s="96" t="str">
        <f>IF(OR(Matriz_Riesgos[[#This Row],[Tope F (AUX)]]="",Matriz_Riesgos[[#This Row],[F_base (AUX)]]=""),"",MAX(0,Matriz_Riesgos[[#This Row],[Tope F (AUX)]]-Matriz_Riesgos[[#This Row],[F_base (AUX)]]))</f>
        <v/>
      </c>
      <c r="BF58" s="96" t="str">
        <f>IF(OR(Matriz_Riesgos[[#This Row],[Tope I (AUX)]]="",Matriz_Riesgos[[#This Row],[I_base (AUX)]]=""),"",MAX(0,Matriz_Riesgos[[#This Row],[Tope I (AUX)]]-Matriz_Riesgos[[#This Row],[I_base (AUX)]]))</f>
        <v/>
      </c>
      <c r="BG58" s="96" t="str">
        <f>IF(OR(Matriz_Riesgos[[#This Row],[Suma Residual redondeada (AUX)]]="",Matriz_Riesgos[[#This Row],[F_base (AUX)]]="",Matriz_Riesgos[[#This Row],[I_base (AUX)]]=""),"",MAX(0,Matriz_Riesgos[[#This Row],[Suma Residual redondeada (AUX)]]-(Matriz_Riesgos[[#This Row],[F_base (AUX)]]+Matriz_Riesgos[[#This Row],[I_base (AUX)]])))</f>
        <v/>
      </c>
      <c r="BH58" s="96" t="str">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
      </c>
      <c r="BI58" s="96" t="str">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
      </c>
      <c r="BJ58" s="96" t="str">
        <f>IF(OR(Matriz_Riesgos[[#This Row],[Resto (AUX)]]="",Matriz_Riesgos[[#This Row],[Capacidad F (AUX)]]="",Matriz_Riesgos[[#This Row],[Inc_I (AUX)]]=""),"",MIN(Matriz_Riesgos[[#This Row],[Capacidad F (AUX)]], MAX(0,Matriz_Riesgos[[#This Row],[Resto (AUX)]]-Matriz_Riesgos[[#This Row],[Inc_I (AUX)]])))</f>
        <v/>
      </c>
      <c r="BK58" s="96" t="str">
        <f>IFERROR(MAX(ROUND(Matriz_Riesgos[[#This Row],[Frecuencia Residual (AUX)]]+Matriz_Riesgos[[#This Row],[Impacto Residual (AUX)]]-1+Matriz_Riesgos[[#This Row],[Efectividad Total Ponderada de los Controles]],0),1),"")</f>
        <v/>
      </c>
      <c r="BL58" s="96" t="str">
        <f>IFERROR(Matriz_Riesgos[[#This Row],[Valor del Riesgo Residual]]-Matriz_Riesgos[[#This Row],[Valor del Riesgo Residual (AUX)]],"")</f>
        <v/>
      </c>
      <c r="BM58" s="96" t="str">
        <f>IFERROR(Matriz_Riesgos[[#This Row],[Frecuencia Residual]]+Matriz_Riesgos[[#This Row],[Impacto Residual]]-1,"")</f>
        <v/>
      </c>
      <c r="BN58" s="96" t="str">
        <f>IFERROR(Matriz_Riesgos[[#This Row],[Valor del Riesgo Residual]]-Matriz_Riesgos[[#This Row],[VRR 2]],"")</f>
        <v/>
      </c>
      <c r="BO58" s="96" t="str">
        <f>IFERROR(Matriz_Riesgos[[#This Row],[Frecuencia]]-Matriz_Riesgos[[#This Row],[Frecuencia Residual]],"")</f>
        <v/>
      </c>
      <c r="BP58" s="96" t="str">
        <f>IFERROR(Matriz_Riesgos[[#This Row],[Impacto]]-Matriz_Riesgos[[#This Row],[Impacto Residual]],"")</f>
        <v/>
      </c>
      <c r="BQ58" s="96" t="str">
        <f>IFERROR(Matriz_Riesgos[[#This Row],[Valor del Riesgo Inherente]]-Matriz_Riesgos[[#This Row],[Valor del Riesgo Residual]],"")</f>
        <v/>
      </c>
      <c r="BR58" s="4"/>
      <c r="BS58" s="4"/>
      <c r="BT58" s="4"/>
      <c r="BU58" s="9"/>
      <c r="BV58" s="9"/>
      <c r="BW58" s="9"/>
      <c r="BX58" s="4"/>
      <c r="BY58" s="4"/>
      <c r="BZ58" s="4"/>
      <c r="CA58" s="4"/>
      <c r="CB58" s="4"/>
      <c r="CC58" s="4"/>
      <c r="CD58" s="4"/>
    </row>
    <row r="59" spans="1:75" ht="84" customHeight="1">
      <c r="A59" s="33">
        <v>58</v>
      </c>
      <c r="B59" s="37" t="inlineStr">
        <is>
          <t>ROP-CUMP-58</t>
        </is>
      </c>
      <c r="C59" s="4" t="inlineStr">
        <is>
          <t>Sección de Cumplimiento</t>
        </is>
      </c>
      <c r="D59" s="25" t="inlineStr">
        <is>
          <t>Sección de Cumplimiento</t>
        </is>
      </c>
      <c r="E59" s="36" t="inlineStr">
        <is>
          <t>Operativo</t>
        </is>
      </c>
      <c r="F59" s="4" t="inlineStr">
        <is>
          <t xml:space="preserve">
Política Conozca a su Cliente</t>
        </is>
      </c>
      <c r="G59" s="6" t="inlineStr">
        <is>
          <t xml:space="preserve">Suficiencia y sostenibilidad del Régimen de Invalidez, Vejez y Muerte.
Entrega oportuna de los beneficios a los asegurados.</t>
        </is>
      </c>
      <c r="H59" s="4" t="inlineStr">
        <is>
          <t>Errores en los datos de derechohabientes y/o Patronos en el sistema de informacion</t>
        </is>
      </c>
      <c r="I59" s="98" t="inlineStr">
        <is>
          <t xml:space="preserve">Descripción: al ingresar información relacionada a los derechohabientes y/o patronos pueden tener errores tipograficos, lo cual repercutiria al hacer busquedas en listas de cautelas por parte de la Sección de Cumplimiento.
Causas: Errores tipograficos involuntarios
Efecto: No lograr detectar a alguien que se encuentre en la lista de cautela,</t>
        </is>
      </c>
      <c r="J59" s="25">
        <v>1</v>
      </c>
      <c r="K59" s="25">
        <v>4</v>
      </c>
      <c r="L59" s="37" t="str">
        <f>IF((Matriz_Riesgos[[#This Row],[Frecuencia]]+Matriz_Riesgos[[#This Row],[Impacto]]-1)=-1,"",Matriz_Riesgos[[#This Row],[Frecuencia]]+Matriz_Riesgos[[#This Row],[Impacto]]-1)</f>
      </c>
      <c r="M59" s="37" t="str">
        <f>IFERROR(VLOOKUP(Matriz_Riesgos[[#This Row],[Valor del Riesgo Inherente]],t_nivel_riesgo[],2,FALSE), "")</f>
      </c>
      <c r="N59" s="4" t="inlineStr">
        <is>
          <t>Afiliación/Control Patronal</t>
        </is>
      </c>
      <c r="O59" s="25" t="inlineStr">
        <is>
          <t>Todos</t>
        </is>
      </c>
      <c r="P59" s="4" t="inlineStr">
        <is>
          <t>Riesgo de Cumplimiento</t>
        </is>
      </c>
      <c r="Q59" s="64"/>
      <c r="R59" s="64"/>
      <c r="S59" s="64"/>
      <c r="T59" s="98" t="inlineStr">
        <is>
          <t xml:space="preserve">Preventivo: El Departamento de Control Patronal hace doble revisión del ingreso de información de patronos y/o derechohabientes 
</t>
        </is>
      </c>
      <c r="U59" s="55" t="inlineStr">
        <is>
          <t>Moderado</t>
        </is>
      </c>
      <c r="V59" s="37" t="str">
        <f>IFERROR(VLOOKUP(Matriz_Riesgos[[#This Row],[Escala de efectividad de control(es) preventivo(s)]],t_efectividad[],2,FALSE),"")</f>
      </c>
      <c r="W59" s="40" t="str">
        <f>IFERROR(VLOOKUP(Matriz_Riesgos[[#This Row],[Escala de efectividad de control(es) preventivo(s)]],t_efectividad[],3,FALSE),"")</f>
      </c>
      <c r="X59" s="4" t="inlineStr">
        <is>
          <t xml:space="preserve">
Detectivo: Proceso de revisión de reportería generada por el DNP a fin de identificar errores de tipografía </t>
        </is>
      </c>
      <c r="Y59" s="55" t="inlineStr">
        <is>
          <t>Moderado</t>
        </is>
      </c>
      <c r="Z59" s="37" t="str">
        <f>IFERROR(VLOOKUP(Matriz_Riesgos[[#This Row],[Escala de efectividad de control(es) detectivo(s)]],t_efectividad[],2,FALSE),"")</f>
      </c>
      <c r="AA59" s="57" t="str">
        <f>IFERROR(VLOOKUP(Matriz_Riesgos[[#This Row],[Escala de efectividad de control(es) detectivo(s)]],t_efectividad[],3,FALSE),"")</f>
      </c>
      <c r="AB59" s="4" t="inlineStr">
        <is>
          <t xml:space="preserve">Correctivo: Elaborar y remitir informes al Departamento de control patronal con los errores detectados 
</t>
        </is>
      </c>
      <c r="AC59" s="55" t="inlineStr">
        <is>
          <t>Moderado</t>
        </is>
      </c>
      <c r="AD59" s="37" t="str">
        <f>IFERROR(VLOOKUP(Matriz_Riesgos[[#This Row],[Escala de efectividad de control(es) correctivo(s)]],t_efectividad[],2,FALSE),"")</f>
      </c>
      <c r="AE59" s="40" t="str">
        <f>IFERROR(VLOOKUP(Matriz_Riesgos[[#This Row],[Escala de efectividad de control(es) correctivo(s)]],t_efectividad[],3,FALSE),"")</f>
      </c>
      <c r="AF59" s="25" t="inlineStr">
        <is>
          <t>Semiautomatizado</t>
        </is>
      </c>
      <c r="AG59" s="66">
        <f>IF(AND(T59="",X59="",AB59=""),"",('Otras Tablas'!$B$3*IF(W59="",0,W59)+'Otras Tablas'!$B$4*IF(AA59="",0,AA59)+'Otras Tablas'!$B$5*IF(AE59="",0,AE59)))</f>
      </c>
      <c r="AH59" s="102" t="str">
        <f>IF(Matriz_Riesgos[[#This Row],[Riesgo Inherente]]="","",Matriz_Riesgos[[#This Row],[Riesgo Inherente]])</f>
      </c>
      <c r="AI59"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c>
      <c r="AJ59"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c>
      <c r="AK59" s="102" t="str">
        <f>IFERROR(ROUND(MAX(1,Matriz_Riesgos[[#This Row],[Valor del Riesgo Inherente]]*(1 - Matriz_Riesgos[[#This Row],[Efectividad Total Ponderada de los Controles]])),0), "")</f>
      </c>
      <c r="AL59" s="102" t="str">
        <f>IFERROR(VLOOKUP(Matriz_Riesgos[[#This Row],[Valor del Riesgo Residual]],t_nivel_riesgo[],2,FALSE),"")</f>
      </c>
      <c r="AM59" s="25" t="inlineStr">
        <is>
          <t>Aceptar</t>
        </is>
      </c>
      <c r="AN59" s="6"/>
      <c r="AO59" s="4"/>
      <c r="AP59" s="6"/>
      <c r="AQ59" s="4"/>
      <c r="AR59" s="4"/>
      <c r="AS59" s="4"/>
      <c r="AT59" s="32"/>
      <c r="AU59" s="32"/>
      <c r="AV59" s="4"/>
      <c r="AW59" s="4"/>
      <c r="AX59" s="96" t="str">
        <f>IFERROR((1-Matriz_Riesgos[[#This Row],[Efectividad Total Ponderada de los Controles]])*Matriz_Riesgos[[#This Row],[Frecuencia]],"")</f>
        <v/>
      </c>
      <c r="AY59" s="96" t="str">
        <f>IFERROR((1-Matriz_Riesgos[[#This Row],[Efectividad Total Ponderada de los Controles]])*Matriz_Riesgos[[#This Row],[Impacto]],"")</f>
        <v/>
      </c>
      <c r="AZ59" s="96" t="str">
        <f>IFERROR(Matriz_Riesgos[[#This Row],[Valor del Riesgo Residual]] + 1, "")</f>
        <v/>
      </c>
      <c r="BA59" s="96" t="str">
        <f>IFERROR(MAX(1, ROUNDDOWN(Matriz_Riesgos[[#This Row],[Frecuencia Residual (AUX)]],0)),"")</f>
        <v/>
      </c>
      <c r="BB59" s="96" t="str">
        <f>IFERROR(MAX(1, ROUNDDOWN(Matriz_Riesgos[[#This Row],[Impacto Residual (AUX)]],0)),"")</f>
        <v/>
      </c>
      <c r="BC59" s="96" t="str">
        <f>IF(Matriz_Riesgos[[#This Row],[Frecuencia]]="","",Matriz_Riesgos[[#This Row],[Frecuencia]])</f>
        <v/>
      </c>
      <c r="BD59" s="96" t="str">
        <f>IF(Matriz_Riesgos[[#This Row],[Impacto]]="","",Matriz_Riesgos[[#This Row],[Impacto]])</f>
        <v/>
      </c>
      <c r="BE59" s="96" t="str">
        <f>IF(OR(Matriz_Riesgos[[#This Row],[Tope F (AUX)]]="",Matriz_Riesgos[[#This Row],[F_base (AUX)]]=""),"",MAX(0,Matriz_Riesgos[[#This Row],[Tope F (AUX)]]-Matriz_Riesgos[[#This Row],[F_base (AUX)]]))</f>
        <v/>
      </c>
      <c r="BF59" s="96" t="str">
        <f>IF(OR(Matriz_Riesgos[[#This Row],[Tope I (AUX)]]="",Matriz_Riesgos[[#This Row],[I_base (AUX)]]=""),"",MAX(0,Matriz_Riesgos[[#This Row],[Tope I (AUX)]]-Matriz_Riesgos[[#This Row],[I_base (AUX)]]))</f>
        <v/>
      </c>
      <c r="BG59" s="96" t="str">
        <f>IF(OR(Matriz_Riesgos[[#This Row],[Suma Residual redondeada (AUX)]]="",Matriz_Riesgos[[#This Row],[F_base (AUX)]]="",Matriz_Riesgos[[#This Row],[I_base (AUX)]]=""),"",MAX(0,Matriz_Riesgos[[#This Row],[Suma Residual redondeada (AUX)]]-(Matriz_Riesgos[[#This Row],[F_base (AUX)]]+Matriz_Riesgos[[#This Row],[I_base (AUX)]])))</f>
        <v/>
      </c>
      <c r="BH59" s="96" t="str">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
      </c>
      <c r="BI59" s="96" t="str">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
      </c>
      <c r="BJ59" s="96" t="str">
        <f>IF(OR(Matriz_Riesgos[[#This Row],[Resto (AUX)]]="",Matriz_Riesgos[[#This Row],[Capacidad F (AUX)]]="",Matriz_Riesgos[[#This Row],[Inc_I (AUX)]]=""),"",MIN(Matriz_Riesgos[[#This Row],[Capacidad F (AUX)]], MAX(0,Matriz_Riesgos[[#This Row],[Resto (AUX)]]-Matriz_Riesgos[[#This Row],[Inc_I (AUX)]])))</f>
        <v/>
      </c>
      <c r="BK59" s="96" t="str">
        <f>IFERROR(MAX(ROUND(Matriz_Riesgos[[#This Row],[Frecuencia Residual (AUX)]]+Matriz_Riesgos[[#This Row],[Impacto Residual (AUX)]]-1+Matriz_Riesgos[[#This Row],[Efectividad Total Ponderada de los Controles]],0),1),"")</f>
        <v/>
      </c>
      <c r="BL59" s="96" t="str">
        <f>IFERROR(Matriz_Riesgos[[#This Row],[Valor del Riesgo Residual]]-Matriz_Riesgos[[#This Row],[Valor del Riesgo Residual (AUX)]],"")</f>
        <v/>
      </c>
      <c r="BM59" s="96" t="str">
        <f>IFERROR(Matriz_Riesgos[[#This Row],[Frecuencia Residual]]+Matriz_Riesgos[[#This Row],[Impacto Residual]]-1,"")</f>
        <v/>
      </c>
      <c r="BN59" s="96" t="str">
        <f>IFERROR(Matriz_Riesgos[[#This Row],[Valor del Riesgo Residual]]-Matriz_Riesgos[[#This Row],[VRR 2]],"")</f>
        <v/>
      </c>
      <c r="BO59" s="96" t="str">
        <f>IFERROR(Matriz_Riesgos[[#This Row],[Frecuencia]]-Matriz_Riesgos[[#This Row],[Frecuencia Residual]],"")</f>
        <v/>
      </c>
      <c r="BP59" s="96" t="str">
        <f>IFERROR(Matriz_Riesgos[[#This Row],[Impacto]]-Matriz_Riesgos[[#This Row],[Impacto Residual]],"")</f>
        <v/>
      </c>
      <c r="BQ59" s="96" t="str">
        <f>IFERROR(Matriz_Riesgos[[#This Row],[Valor del Riesgo Inherente]]-Matriz_Riesgos[[#This Row],[Valor del Riesgo Residual]],"")</f>
        <v/>
      </c>
      <c r="BR59" s="4"/>
      <c r="BS59" s="4"/>
      <c r="BT59" s="4"/>
      <c r="BU59" s="9"/>
      <c r="BV59" s="9"/>
      <c r="BW59" s="9"/>
      <c r="BX59" s="4"/>
      <c r="BY59" s="4"/>
      <c r="BZ59" s="4"/>
      <c r="CA59" s="4"/>
      <c r="CB59" s="4"/>
      <c r="CC59" s="4"/>
      <c r="CD59" s="4"/>
    </row>
    <row r="60" spans="1:75" ht="72" customHeight="1">
      <c r="A60" s="31">
        <v>59</v>
      </c>
      <c r="B60" s="38" t="inlineStr">
        <is>
          <t>ROP-CUMP-59</t>
        </is>
      </c>
      <c r="C60" s="5" t="inlineStr">
        <is>
          <t>Sección de Cumplimiento</t>
        </is>
      </c>
      <c r="D60" s="24" t="inlineStr">
        <is>
          <t>Sección de Cumplimiento</t>
        </is>
      </c>
      <c r="E60" s="41" t="inlineStr">
        <is>
          <t>Operativo</t>
        </is>
      </c>
      <c r="F60" s="5" t="inlineStr">
        <is>
          <t>Atención a requerimientos de Información por parte del Ente Regulador</t>
        </is>
      </c>
      <c r="G60" s="42" t="inlineStr">
        <is>
          <t xml:space="preserve">Suficiencia y sostenibilidad del Régimen de Invalidez, Vejez y Muerte.
Entrega oportuna de los beneficios a los asegurados.</t>
        </is>
      </c>
      <c r="H60" s="5" t="inlineStr">
        <is>
          <t xml:space="preserve">Multas y Sanciones por respuestas fuera de tiempo  </t>
        </is>
      </c>
      <c r="I60" s="147" t="inlineStr">
        <is>
          <t xml:space="preserve">Descripción: Se pueden incurrir en una multa o sanción si se contesta fuera de tiempo a notificaciones oficiales 
Causas: falta de personal, problemas de comunicación
Efecto: posible  Multa o sancion</t>
        </is>
      </c>
      <c r="J60" s="24">
        <v>1</v>
      </c>
      <c r="K60" s="24">
        <v>3</v>
      </c>
      <c r="L60" s="38" t="str">
        <f>IF((Matriz_Riesgos[[#This Row],[Frecuencia]]+Matriz_Riesgos[[#This Row],[Impacto]]-1)=-1,"",Matriz_Riesgos[[#This Row],[Frecuencia]]+Matriz_Riesgos[[#This Row],[Impacto]]-1)</f>
      </c>
      <c r="M60" s="38" t="str">
        <f>IFERROR(VLOOKUP(Matriz_Riesgos[[#This Row],[Valor del Riesgo Inherente]],t_nivel_riesgo[],2,FALSE), "")</f>
      </c>
      <c r="N60" s="5" t="inlineStr">
        <is>
          <t>Seccion de Cumplimiento</t>
        </is>
      </c>
      <c r="O60" s="24" t="inlineStr">
        <is>
          <t>IVM</t>
        </is>
      </c>
      <c r="P60" s="5" t="inlineStr">
        <is>
          <t>Riesgo de Cumplimiento</t>
        </is>
      </c>
      <c r="Q60" s="65"/>
      <c r="R60" s="65"/>
      <c r="S60" s="65"/>
      <c r="T60" s="98" t="inlineStr">
        <is>
          <t>Preventivo: Existencia de proceso de Atención de los requerimientos externos de información y cualquier otro solicitado por la CNBS y la UIF</t>
        </is>
      </c>
      <c r="U60" s="55" t="inlineStr">
        <is>
          <t>Alta Efectividad</t>
        </is>
      </c>
      <c r="V60" s="38" t="str">
        <f>IFERROR(VLOOKUP(Matriz_Riesgos[[#This Row],[Escala de efectividad de control(es) preventivo(s)]],t_efectividad[],2,FALSE),"")</f>
      </c>
      <c r="W60" s="39" t="str">
        <f>IFERROR(VLOOKUP(Matriz_Riesgos[[#This Row],[Escala de efectividad de control(es) preventivo(s)]],t_efectividad[],3,FALSE),"")</f>
      </c>
      <c r="X60" s="4" t="inlineStr">
        <is>
          <t>No hay</t>
        </is>
      </c>
      <c r="Y60" s="55" t="inlineStr">
        <is>
          <t>Inexistente</t>
        </is>
      </c>
      <c r="Z60" s="38" t="str">
        <f>IFERROR(VLOOKUP(Matriz_Riesgos[[#This Row],[Escala de efectividad de control(es) detectivo(s)]],t_efectividad[],2,FALSE),"")</f>
      </c>
      <c r="AA60" s="57" t="str">
        <f>IFERROR(VLOOKUP(Matriz_Riesgos[[#This Row],[Escala de efectividad de control(es) detectivo(s)]],t_efectividad[],3,FALSE),"")</f>
      </c>
      <c r="AB60" s="4" t="inlineStr">
        <is>
          <t>No hay</t>
        </is>
      </c>
      <c r="AC60" s="55" t="inlineStr">
        <is>
          <t>Inexistente</t>
        </is>
      </c>
      <c r="AD60" s="38" t="str">
        <f>IFERROR(VLOOKUP(Matriz_Riesgos[[#This Row],[Escala de efectividad de control(es) correctivo(s)]],t_efectividad[],2,FALSE),"")</f>
      </c>
      <c r="AE60" s="39" t="str">
        <f>IFERROR(VLOOKUP(Matriz_Riesgos[[#This Row],[Escala de efectividad de control(es) correctivo(s)]],t_efectividad[],3,FALSE),"")</f>
      </c>
      <c r="AF60" s="24" t="inlineStr">
        <is>
          <t>Manual</t>
        </is>
      </c>
      <c r="AG60" s="67">
        <f>IF(AND(T60="",X60="",AB60=""),"",('Otras Tablas'!$B$3*IF(W60="",0,W60)+'Otras Tablas'!$B$4*IF(AA60="",0,AA60)+'Otras Tablas'!$B$5*IF(AE60="",0,AE60)))</f>
      </c>
      <c r="AH60" s="102" t="str">
        <f>IF(Matriz_Riesgos[[#This Row],[Riesgo Inherente]]="","",Matriz_Riesgos[[#This Row],[Riesgo Inherente]])</f>
      </c>
      <c r="AI60"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Row],[Frecuencia]],MIN(Matriz_Riesgos[[#This Row],[Tope F (AUX)]], Matriz_Riesgos[[#This Row],[F_base (AUX)]]+Matriz_Riesgos[[#This Row],[Inc_F (AUX)]]))),"")</f>
      </c>
      <c r="AJ60" s="102" t="str">
        <f>IFERROR(IF(OR(Matriz_Riesgos[[#This Row],[Frecuencia]]="",Matriz_Riesgos[[#This Row],[Impacto]]="",Matriz_Riesgos[[#This Row],[Valor del Riesgo Inherente]]="",Matriz_Riesgos[[#This Row],[Valor del Riesgo Residual]]=""),"",IF(Matriz_Riesgos[[#This Row],[Valor del Riesgo Inherente]]=Matriz_Riesgos[[#This Row],[Valor del Riesgo Residual]],Matriz_Riesgos[[#This Row],[Impacto]],MIN(Matriz_Riesgos[[#This Row],[Tope I (AUX)]], Matriz_Riesgos[[#This Row],[I_base (AUX)]]+Matriz_Riesgos[[#This Row],[Inc_I (AUX)]]))),"")</f>
      </c>
      <c r="AK60" s="102" t="str">
        <f>IFERROR(ROUND(MAX(1,Matriz_Riesgos[[#This Row],[Valor del Riesgo Inherente]]*(1 - Matriz_Riesgos[[#This Row],[Efectividad Total Ponderada de los Controles]])),0), "")</f>
      </c>
      <c r="AL60" s="102" t="str">
        <f>IFERROR(VLOOKUP(Matriz_Riesgos[[#This Row],[Valor del Riesgo Residual]],t_nivel_riesgo[],2,FALSE),"")</f>
      </c>
      <c r="AM60" s="25" t="inlineStr">
        <is>
          <t>Aceptar</t>
        </is>
      </c>
      <c r="AN60" s="42"/>
      <c r="AO60" s="5"/>
      <c r="AP60" s="4"/>
      <c r="AQ60" s="4"/>
      <c r="AR60" s="4"/>
      <c r="AS60" s="4"/>
      <c r="AT60" s="4"/>
      <c r="AU60" s="4"/>
      <c r="AV60" s="4"/>
      <c r="AW60" s="4"/>
      <c r="AX60" s="96" t="str">
        <f>IFERROR((1-Matriz_Riesgos[[#This Row],[Efectividad Total Ponderada de los Controles]])*Matriz_Riesgos[[#This Row],[Frecuencia]],"")</f>
        <v/>
      </c>
      <c r="AY60" s="96" t="str">
        <f>IFERROR((1-Matriz_Riesgos[[#This Row],[Efectividad Total Ponderada de los Controles]])*Matriz_Riesgos[[#This Row],[Impacto]],"")</f>
        <v/>
      </c>
      <c r="AZ60" s="96" t="str">
        <f>IFERROR(Matriz_Riesgos[[#This Row],[Valor del Riesgo Residual]] + 1, "")</f>
        <v/>
      </c>
      <c r="BA60" s="96" t="str">
        <f>IFERROR(MAX(1, ROUNDDOWN(Matriz_Riesgos[[#This Row],[Frecuencia Residual (AUX)]],0)),"")</f>
        <v/>
      </c>
      <c r="BB60" s="96" t="str">
        <f>IFERROR(MAX(1, ROUNDDOWN(Matriz_Riesgos[[#This Row],[Impacto Residual (AUX)]],0)),"")</f>
        <v/>
      </c>
      <c r="BC60" s="96" t="str">
        <f>IF(Matriz_Riesgos[[#This Row],[Frecuencia]]="","",Matriz_Riesgos[[#This Row],[Frecuencia]])</f>
        <v/>
      </c>
      <c r="BD60" s="96" t="str">
        <f>IF(Matriz_Riesgos[[#This Row],[Impacto]]="","",Matriz_Riesgos[[#This Row],[Impacto]])</f>
        <v/>
      </c>
      <c r="BE60" s="96" t="str">
        <f>IF(OR(Matriz_Riesgos[[#This Row],[Tope F (AUX)]]="",Matriz_Riesgos[[#This Row],[F_base (AUX)]]=""),"",MAX(0,Matriz_Riesgos[[#This Row],[Tope F (AUX)]]-Matriz_Riesgos[[#This Row],[F_base (AUX)]]))</f>
        <v/>
      </c>
      <c r="BF60" s="96" t="str">
        <f>IF(OR(Matriz_Riesgos[[#This Row],[Tope I (AUX)]]="",Matriz_Riesgos[[#This Row],[I_base (AUX)]]=""),"",MAX(0,Matriz_Riesgos[[#This Row],[Tope I (AUX)]]-Matriz_Riesgos[[#This Row],[I_base (AUX)]]))</f>
        <v/>
      </c>
      <c r="BG60" s="96" t="str">
        <f>IF(OR(Matriz_Riesgos[[#This Row],[Suma Residual redondeada (AUX)]]="",Matriz_Riesgos[[#This Row],[F_base (AUX)]]="",Matriz_Riesgos[[#This Row],[I_base (AUX)]]=""),"",MAX(0,Matriz_Riesgos[[#This Row],[Suma Residual redondeada (AUX)]]-(Matriz_Riesgos[[#This Row],[F_base (AUX)]]+Matriz_Riesgos[[#This Row],[I_base (AUX)]])))</f>
        <v/>
      </c>
      <c r="BH60" s="96" t="str">
        <f>IF(OR(Matriz_Riesgos[[#This Row],[Impacto Residual (AUX)]]="",Matriz_Riesgos[[#This Row],[Frecuencia Residual (AUX)]]=""),"",IF(MOD(Matriz_Riesgos[[#This Row],[Impacto Residual (AUX)]],1) &gt; MOD(Matriz_Riesgos[[#This Row],[Frecuencia Residual (AUX)]],1),1,IF(MOD(Matriz_Riesgos[[#This Row],[Impacto Residual (AUX)]],1) = MOD(Matriz_Riesgos[[#This Row],[Frecuencia Residual (AUX)]],1),1,0)))</f>
        <v/>
      </c>
      <c r="BI60" s="96" t="str">
        <f>IF(OR(Matriz_Riesgos[[#This Row],[Resto (AUX)]]="",Matriz_Riesgos[[#This Row],[Capacidad I (AUX)]]="",Matriz_Riesgos[[#This Row],[Capacidad F (AUX)]]=""),"",IF(Matriz_Riesgos[[#This Row],[Resto (AUX)]]=0, 0,IF(Matriz_Riesgos[[#This Row],[Resto (AUX)]]=1,MIN(Matriz_Riesgos[[#This Row],[Capacidad I (AUX)]], IF(OR(Matriz_Riesgos[[#This Row],[Prefiere I (AUX)]]=1,Matriz_Riesgos[[#This Row],[Capacidad F (AUX)]]=0),1,0)),MIN(Matriz_Riesgos[[#This Row],[Capacidad I (AUX)]],IF(Matriz_Riesgos[[#This Row],[Prefiere I (AUX)]]=1,1 + IF(Matriz_Riesgos[[#This Row],[Capacidad F (AUX)]]&gt;0,0,1),IF(Matriz_Riesgos[[#This Row],[Capacidad F (AUX)]]&gt;0,1,2))))))</f>
        <v/>
      </c>
      <c r="BJ60" s="96" t="str">
        <f>IF(OR(Matriz_Riesgos[[#This Row],[Resto (AUX)]]="",Matriz_Riesgos[[#This Row],[Capacidad F (AUX)]]="",Matriz_Riesgos[[#This Row],[Inc_I (AUX)]]=""),"",MIN(Matriz_Riesgos[[#This Row],[Capacidad F (AUX)]], MAX(0,Matriz_Riesgos[[#This Row],[Resto (AUX)]]-Matriz_Riesgos[[#This Row],[Inc_I (AUX)]])))</f>
        <v/>
      </c>
      <c r="BK60" s="96" t="str">
        <f>IFERROR(MAX(ROUND(Matriz_Riesgos[[#This Row],[Frecuencia Residual (AUX)]]+Matriz_Riesgos[[#This Row],[Impacto Residual (AUX)]]-1+Matriz_Riesgos[[#This Row],[Efectividad Total Ponderada de los Controles]],0),1),"")</f>
        <v/>
      </c>
      <c r="BL60" s="96" t="str">
        <f>IFERROR(Matriz_Riesgos[[#This Row],[Valor del Riesgo Residual]]-Matriz_Riesgos[[#This Row],[Valor del Riesgo Residual (AUX)]],"")</f>
        <v/>
      </c>
      <c r="BM60" s="96" t="str">
        <f>IFERROR(Matriz_Riesgos[[#This Row],[Frecuencia Residual]]+Matriz_Riesgos[[#This Row],[Impacto Residual]]-1,"")</f>
        <v/>
      </c>
      <c r="BN60" s="96" t="str">
        <f>IFERROR(Matriz_Riesgos[[#This Row],[Valor del Riesgo Residual]]-Matriz_Riesgos[[#This Row],[VRR 2]],"")</f>
        <v/>
      </c>
      <c r="BO60" s="96" t="str">
        <f>IFERROR(Matriz_Riesgos[[#This Row],[Frecuencia]]-Matriz_Riesgos[[#This Row],[Frecuencia Residual]],"")</f>
        <v/>
      </c>
      <c r="BP60" s="96" t="str">
        <f>IFERROR(Matriz_Riesgos[[#This Row],[Impacto]]-Matriz_Riesgos[[#This Row],[Impacto Residual]],"")</f>
        <v/>
      </c>
      <c r="BQ60" s="96" t="str">
        <f>IFERROR(Matriz_Riesgos[[#This Row],[Valor del Riesgo Inherente]]-Matriz_Riesgos[[#This Row],[Valor del Riesgo Residual]],"")</f>
        <v/>
      </c>
      <c r="BR60" s="5"/>
      <c r="BS60" s="5"/>
      <c r="BT60" s="5"/>
      <c r="BU60" s="9"/>
      <c r="BV60" s="9"/>
      <c r="BW60" s="9"/>
      <c r="BX60" s="5"/>
      <c r="BY60" s="5"/>
      <c r="BZ60" s="5"/>
      <c r="CA60" s="5"/>
      <c r="CB60" s="5"/>
      <c r="CC60" s="5"/>
      <c r="CD60" s="5"/>
    </row>
    <row r="63" spans="1:75">
      <c r="A63" s="166" t="s">
        <v>543</v>
      </c>
      <c r="B63" s="166"/>
      <c r="C63" s="166"/>
      <c r="D63" s="166"/>
      <c r="E63" s="166"/>
      <c r="F63" s="166"/>
      <c r="G63" s="166"/>
      <c r="H63" s="166"/>
      <c r="I63" s="166"/>
      <c r="J63" s="166"/>
      <c r="K63" s="166"/>
      <c r="L63" s="166"/>
      <c r="M63" s="166"/>
      <c r="N63" s="166"/>
      <c r="O63" s="166"/>
    </row>
    <row r="64" spans="1:75">
      <c r="A64" s="166" t="s">
        <v>544</v>
      </c>
      <c r="B64" s="166"/>
      <c r="C64" s="166"/>
      <c r="D64" s="166"/>
      <c r="E64" s="166"/>
      <c r="F64" s="166"/>
      <c r="G64" s="166"/>
      <c r="H64" s="166"/>
      <c r="I64" s="166"/>
      <c r="J64" s="166"/>
      <c r="K64" s="166"/>
      <c r="L64" s="166"/>
      <c r="M64" s="166"/>
      <c r="N64" s="166"/>
      <c r="O64" s="166"/>
    </row>
  </sheetData>
  <sheetProtection formatCells="0" insertRows="0" insertHyperlinks="0" deleteRows="0" pivotTables="0"/>
  <protectedRanges>
    <protectedRange algorithmName="SHA-512" hashValue="A1dNgCK/xOW0Q04hvgVoYAJhBZDTWHDz3eawjq75J6at3407ro/Z6Kg6AuHblBdcbWcWOd6AjlNBej8luz1p5w==" saltValue="YE9ka2pgtKqCQ3UDv/jG/g==" spinCount="100000" sqref="A50:A1048576 A1:A3" name="Rango2"/>
    <protectedRange algorithmName="SHA-512" hashValue="mPG7BiQeCLKBp5OtSt5ML/muVat4Mt6w5C1YFfUlr3wB2QZ/A9mSR/lt7WxyVppyi/0HFzn62CwlM5kOrbvwjg==" saltValue="7ZY8/jjQAZsKrKr8E0jR8w==" spinCount="100000" sqref="C1:K1 C61:K1048576 F51:F60 H50:H60 H2:H3 J2:K60" name="Rango1"/>
    <protectedRange algorithmName="SHA-512" hashValue="mPG7BiQeCLKBp5OtSt5ML/muVat4Mt6w5C1YFfUlr3wB2QZ/A9mSR/lt7WxyVppyi/0HFzn62CwlM5kOrbvwjg==" saltValue="7ZY8/jjQAZsKrKr8E0jR8w==" spinCount="100000" sqref="C51:E60 T50:T60 AD50:AE60 V50:X60 AB50:AB60 Z50:Z60 C2:F2 Q2:T3 AD2:AE3 V2:X3 AB2:AB3 Z2:Z3 C3:D3 F3 E3:E50 O2:O60" name="Rango1_2"/>
    <protectedRange algorithmName="SHA-512" hashValue="mPG7BiQeCLKBp5OtSt5ML/muVat4Mt6w5C1YFfUlr3wB2QZ/A9mSR/lt7WxyVppyi/0HFzn62CwlM5kOrbvwjg==" saltValue="7ZY8/jjQAZsKrKr8E0jR8w==" spinCount="100000" sqref="I51:I60" name="Rango1_2_1"/>
    <protectedRange algorithmName="SHA-512" hashValue="mPG7BiQeCLKBp5OtSt5ML/muVat4Mt6w5C1YFfUlr3wB2QZ/A9mSR/lt7WxyVppyi/0HFzn62CwlM5kOrbvwjg==" saltValue="7ZY8/jjQAZsKrKr8E0jR8w==" spinCount="100000" sqref="G50:G60 G2:G3" name="Rango1_2_3"/>
    <protectedRange algorithmName="SHA-512" hashValue="mPG7BiQeCLKBp5OtSt5ML/muVat4Mt6w5C1YFfUlr3wB2QZ/A9mSR/lt7WxyVppyi/0HFzn62CwlM5kOrbvwjg==" saltValue="7ZY8/jjQAZsKrKr8E0jR8w==" spinCount="100000" sqref="I2:I50" name="Rango1_2_1_2"/>
    <protectedRange algorithmName="SHA-512" hashValue="A1dNgCK/xOW0Q04hvgVoYAJhBZDTWHDz3eawjq75J6at3407ro/Z6Kg6AuHblBdcbWcWOd6AjlNBej8luz1p5w==" saltValue="YE9ka2pgtKqCQ3UDv/jG/g==" spinCount="100000" sqref="A4:A49" name="Rango2_3"/>
    <protectedRange algorithmName="SHA-512" hashValue="mPG7BiQeCLKBp5OtSt5ML/muVat4Mt6w5C1YFfUlr3wB2QZ/A9mSR/lt7WxyVppyi/0HFzn62CwlM5kOrbvwjg==" saltValue="7ZY8/jjQAZsKrKr8E0jR8w==" spinCount="100000" sqref="Q4:S49 AF4:AG49 Z4:Z49 C4:D50 N4:N50 F4:F50" name="Rango1_2_8"/>
    <protectedRange algorithmName="SHA-512" hashValue="mPG7BiQeCLKBp5OtSt5ML/muVat4Mt6w5C1YFfUlr3wB2QZ/A9mSR/lt7WxyVppyi/0HFzn62CwlM5kOrbvwjg==" saltValue="7ZY8/jjQAZsKrKr8E0jR8w==" spinCount="100000" sqref="G4:G49" name="Rango1_2_3_1"/>
    <protectedRange algorithmName="SHA-512" hashValue="mPG7BiQeCLKBp5OtSt5ML/muVat4Mt6w5C1YFfUlr3wB2QZ/A9mSR/lt7WxyVppyi/0HFzn62CwlM5kOrbvwjg==" saltValue="7ZY8/jjQAZsKrKr8E0jR8w==" spinCount="100000" sqref="X15 T4:T49" name="Rango1_2_2_1"/>
    <protectedRange algorithmName="SHA-512" hashValue="mPG7BiQeCLKBp5OtSt5ML/muVat4Mt6w5C1YFfUlr3wB2QZ/A9mSR/lt7WxyVppyi/0HFzn62CwlM5kOrbvwjg==" saltValue="7ZY8/jjQAZsKrKr8E0jR8w==" spinCount="100000" sqref="X4:X14 X16:X49" name="Rango1_2_4_1"/>
    <protectedRange algorithmName="SHA-512" hashValue="mPG7BiQeCLKBp5OtSt5ML/muVat4Mt6w5C1YFfUlr3wB2QZ/A9mSR/lt7WxyVppyi/0HFzn62CwlM5kOrbvwjg==" saltValue="7ZY8/jjQAZsKrKr8E0jR8w==" spinCount="100000" sqref="AB4:AB49" name="Rango1_2_5_1"/>
  </protectedRanges>
  <mergeCells count="2">
    <mergeCell ref="A63:O63"/>
    <mergeCell ref="A64:O64"/>
  </mergeCells>
  <phoneticPr fontId="9" type="noConversion"/>
  <dataValidations yWindow="663" count="5">
    <dataValidation sqref="AD2:AD3 V2:V3 T2:T60 AD50:AD60 X2:X60 V50:V60 AB2:AB60" xr:uid="{00000000-0002-0000-0100-000000000000}"/>
    <dataValidation prompt="Marcar con la letra &quot;X&quot; si se cuenta con este control, de lo contrario dejar en blanco." sqref="Z2:Z60" xr:uid="{00000000-0002-0000-0100-000001000000}"/>
    <dataValidation type="list" allowBlank="1" showInputMessage="1" showErrorMessage="1" errorStyle="stop" sqref="BS2:BS60">
      <formula1>'Listas Automonitoreo'!$A$2:$A$4</formula1>
    </dataValidation>
    <dataValidation type="list" allowBlank="1" showInputMessage="1" showErrorMessage="1" errorStyle="stop" sqref="BT2:BT60 BW2:BW60 BZ2:BZ60">
      <formula1>'Listas Automonitoreo'!$B$2:$B$4</formula1>
    </dataValidation>
    <dataValidation type="list" allowBlank="1" showInputMessage="1" showErrorMessage="1" errorStyle="stop" sqref="BU2:BU60 BX2:BX60 CA2:CA60">
      <formula1>'Listas Automonitoreo'!$C$2:$C$7</formula1>
    </dataValidation>
  </dataValidations>
  <pageMargins left="0.70866141732283472" right="0.31496062992125984" top="0.74803149606299213" bottom="0.74803149606299213" header="0.31496062992125984" footer="0.31496062992125984"/>
  <pageSetup paperSize="5" scale="43" orientation="landscape" r:id="rId1"/>
  <ignoredErrors>
    <ignoredError sqref="T51:T60 X51:X60 AB51:AB60" calculatedColumn="1"/>
  </ignoredErrors>
  <tableParts count="1">
    <tablePart r:id="rId2"/>
  </tableParts>
  <extLst>
    <ext xmlns:x14="http://schemas.microsoft.com/office/spreadsheetml/2009/9/main" uri="{CCE6A557-97BC-4b89-ADB6-D9C93CAAB3DF}">
      <x14:dataValidations xmlns:xm="http://schemas.microsoft.com/office/excel/2006/main" yWindow="663" count="7">
        <x14:dataValidation type="list" allowBlank="1" showInputMessage="1" showErrorMessage="1" xr:uid="{00000000-0002-0000-0100-000002000000}">
          <x14:formula1>
            <xm:f>Listas!$A$30:$A$35</xm:f>
          </x14:formula1>
          <xm:sqref>Y2:Y3 U2:U3 AC2:AC3 AC50:AC60 Y50:Y60 U50:U60</xm:sqref>
        </x14:dataValidation>
        <x14:dataValidation type="list" allowBlank="1" showInputMessage="1" showErrorMessage="1" xr:uid="{00000000-0002-0000-0100-000003000000}">
          <x14:formula1>
            <xm:f>Listas!$A$52:$A$54</xm:f>
          </x14:formula1>
          <xm:sqref>AF2:AF3 AF50:AF60</xm:sqref>
        </x14:dataValidation>
        <x14:dataValidation type="list" allowBlank="1" showInputMessage="1" showErrorMessage="1" xr:uid="{00000000-0002-0000-0100-000004000000}">
          <x14:formula1>
            <xm:f>'https://ihsshn-my.sharepoint.com/Users/wendy.nunez/Documents/Wendy/Matrices de Riesgo Areas/[Matriz en blanco V5 (UGR 02-2026).xlsx]Listas'!#REF!</xm:f>
          </x14:formula1>
          <xm:sqref>U4:U49 Y4:Y49 AC4:AC49 AF4:AF49 D4:D50</xm:sqref>
        </x14:dataValidation>
        <x14:dataValidation type="list" allowBlank="1" showInputMessage="1" showErrorMessage="1" xr:uid="{00000000-0002-0000-0100-000005000000}">
          <x14:formula1>
            <xm:f>Listas!$A$2:$A$13</xm:f>
          </x14:formula1>
          <xm:sqref>E2:E60</xm:sqref>
        </x14:dataValidation>
        <x14:dataValidation type="list" allowBlank="1" showInputMessage="1" showErrorMessage="1" xr:uid="{00000000-0002-0000-0100-000006000000}">
          <x14:formula1>
            <xm:f>Listas!$A$43:$A$49</xm:f>
          </x14:formula1>
          <xm:sqref>O2:O60</xm:sqref>
        </x14:dataValidation>
        <x14:dataValidation type="list" allowBlank="1" showInputMessage="1" showErrorMessage="1" xr:uid="{00000000-0002-0000-0100-000007000000}">
          <x14:formula1>
            <xm:f>Listas!$F$2:$F$6</xm:f>
          </x14:formula1>
          <xm:sqref>J2:K60</xm:sqref>
        </x14:dataValidation>
        <x14:dataValidation type="list" allowBlank="1" showInputMessage="1" showErrorMessage="1" xr:uid="{00000000-0002-0000-0100-000008000000}">
          <x14:formula1>
            <xm:f>Listas!$D$2:$D$5</xm:f>
          </x14:formula1>
          <xm:sqref>AM2:AM60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69"/>
  <sheetViews>
    <sheetView workbookViewId="0">
      <selection activeCell="B8" sqref="B8"/>
    </sheetView>
  </sheetViews>
  <sheetFormatPr defaultColWidth="11.42578125" defaultRowHeight="14.45"/>
  <cols>
    <col min="1" max="1" width="87.7109375" bestFit="1" customWidth="1"/>
  </cols>
  <sheetData>
    <row r="1" spans="1:1" ht="31.15">
      <c r="A1" s="122" t="s">
        <v>545</v>
      </c>
    </row>
    <row r="3" spans="1:1">
      <c r="A3" s="123" t="s">
        <v>546</v>
      </c>
    </row>
    <row r="5" spans="1:1">
      <c r="A5" t="s">
        <v>547</v>
      </c>
    </row>
    <row r="6" spans="1:1">
      <c r="A6" s="124"/>
    </row>
    <row r="7" spans="1:1">
      <c r="A7" s="124" t="s">
        <v>548</v>
      </c>
    </row>
    <row r="8" spans="1:1">
      <c r="A8" s="124" t="s">
        <v>549</v>
      </c>
    </row>
    <row r="9" spans="1:1">
      <c r="A9" s="124" t="s">
        <v>550</v>
      </c>
    </row>
    <row r="13" spans="1:1" ht="23.45">
      <c r="A13" s="125" t="s">
        <v>551</v>
      </c>
    </row>
    <row r="15" spans="1:1">
      <c r="A15" t="s">
        <v>552</v>
      </c>
    </row>
    <row r="16" spans="1:1">
      <c r="A16" t="s">
        <v>553</v>
      </c>
    </row>
    <row r="17" spans="1:1">
      <c r="A17" t="s">
        <v>554</v>
      </c>
    </row>
    <row r="18" spans="1:1">
      <c r="A18" t="s">
        <v>555</v>
      </c>
    </row>
    <row r="20" spans="1:1">
      <c r="A20" t="s">
        <v>556</v>
      </c>
    </row>
    <row r="24" spans="1:1" ht="23.45">
      <c r="A24" s="125" t="s">
        <v>557</v>
      </c>
    </row>
    <row r="26" spans="1:1">
      <c r="A26" t="s">
        <v>558</v>
      </c>
    </row>
    <row r="27" spans="1:1">
      <c r="A27" t="s">
        <v>559</v>
      </c>
    </row>
    <row r="28" spans="1:1">
      <c r="A28" t="s">
        <v>560</v>
      </c>
    </row>
    <row r="30" spans="1:1">
      <c r="A30" t="s">
        <v>561</v>
      </c>
    </row>
    <row r="34" spans="1:1" ht="23.45">
      <c r="A34" s="125" t="s">
        <v>562</v>
      </c>
    </row>
    <row r="36" spans="1:1">
      <c r="A36" t="s">
        <v>563</v>
      </c>
    </row>
    <row r="37" spans="1:1">
      <c r="A37" t="s">
        <v>564</v>
      </c>
    </row>
    <row r="38" spans="1:1">
      <c r="A38" t="s">
        <v>565</v>
      </c>
    </row>
    <row r="40" spans="1:1">
      <c r="A40" t="s">
        <v>566</v>
      </c>
    </row>
    <row r="44" spans="1:1" ht="23.45">
      <c r="A44" s="125" t="s">
        <v>567</v>
      </c>
    </row>
    <row r="46" spans="1:1">
      <c r="A46" t="s">
        <v>568</v>
      </c>
    </row>
    <row r="47" spans="1:1">
      <c r="A47" t="s">
        <v>569</v>
      </c>
    </row>
    <row r="48" spans="1:1">
      <c r="A48" t="s">
        <v>570</v>
      </c>
    </row>
    <row r="49" spans="1:1">
      <c r="A49" t="s">
        <v>571</v>
      </c>
    </row>
    <row r="50" spans="1:1">
      <c r="A50" t="s">
        <v>572</v>
      </c>
    </row>
    <row r="52" spans="1:1">
      <c r="A52" t="s">
        <v>573</v>
      </c>
    </row>
    <row r="56" spans="1:1" ht="23.45">
      <c r="A56" s="125" t="s">
        <v>574</v>
      </c>
    </row>
    <row r="58" spans="1:1">
      <c r="A58" t="s">
        <v>575</v>
      </c>
    </row>
    <row r="59" spans="1:1">
      <c r="A59" t="s">
        <v>576</v>
      </c>
    </row>
    <row r="60" spans="1:1">
      <c r="A60" t="s">
        <v>577</v>
      </c>
    </row>
    <row r="61" spans="1:1">
      <c r="A61" t="s">
        <v>578</v>
      </c>
    </row>
    <row r="63" spans="1:1">
      <c r="A63" t="s">
        <v>579</v>
      </c>
    </row>
    <row r="67" spans="1:1" ht="23.45">
      <c r="A67" s="125" t="s">
        <v>580</v>
      </c>
    </row>
    <row r="69" spans="1:1">
      <c r="A69" t="s">
        <v>581</v>
      </c>
    </row>
    <row r="70" spans="1:1">
      <c r="A70" t="s">
        <v>582</v>
      </c>
    </row>
    <row r="71" spans="1:1">
      <c r="A71" t="s">
        <v>583</v>
      </c>
    </row>
    <row r="73" spans="1:1">
      <c r="A73" t="s">
        <v>584</v>
      </c>
    </row>
    <row r="77" spans="1:1" ht="23.45">
      <c r="A77" s="125" t="s">
        <v>585</v>
      </c>
    </row>
    <row r="79" spans="1:1">
      <c r="A79" t="s">
        <v>586</v>
      </c>
    </row>
    <row r="80" spans="1:1">
      <c r="A80" t="s">
        <v>587</v>
      </c>
    </row>
    <row r="81" spans="1:1">
      <c r="A81" t="s">
        <v>588</v>
      </c>
    </row>
    <row r="83" spans="1:1">
      <c r="A83" t="s">
        <v>589</v>
      </c>
    </row>
    <row r="87" spans="1:1" ht="23.45">
      <c r="A87" s="125" t="s">
        <v>590</v>
      </c>
    </row>
    <row r="89" spans="1:1">
      <c r="A89" t="s">
        <v>591</v>
      </c>
    </row>
    <row r="90" spans="1:1">
      <c r="A90" t="s">
        <v>592</v>
      </c>
    </row>
    <row r="91" spans="1:1">
      <c r="A91" t="s">
        <v>593</v>
      </c>
    </row>
    <row r="93" spans="1:1">
      <c r="A93" t="s">
        <v>594</v>
      </c>
    </row>
    <row r="97" spans="1:1" ht="23.45">
      <c r="A97" s="125" t="s">
        <v>595</v>
      </c>
    </row>
    <row r="99" spans="1:1">
      <c r="A99" t="s">
        <v>596</v>
      </c>
    </row>
    <row r="100" spans="1:1">
      <c r="A100" t="s">
        <v>597</v>
      </c>
    </row>
    <row r="101" spans="1:1">
      <c r="A101" t="s">
        <v>598</v>
      </c>
    </row>
    <row r="103" spans="1:1">
      <c r="A103" t="s">
        <v>599</v>
      </c>
    </row>
    <row r="107" spans="1:1" ht="23.45">
      <c r="A107" s="125" t="s">
        <v>600</v>
      </c>
    </row>
    <row r="109" spans="1:1">
      <c r="A109" t="s">
        <v>601</v>
      </c>
    </row>
    <row r="110" spans="1:1">
      <c r="A110" t="s">
        <v>602</v>
      </c>
    </row>
    <row r="111" spans="1:1">
      <c r="A111" t="s">
        <v>603</v>
      </c>
    </row>
    <row r="113" spans="1:1">
      <c r="A113" t="s">
        <v>604</v>
      </c>
    </row>
    <row r="117" spans="1:1" ht="23.45">
      <c r="A117" s="125" t="s">
        <v>605</v>
      </c>
    </row>
    <row r="119" spans="1:1">
      <c r="A119" t="s">
        <v>606</v>
      </c>
    </row>
    <row r="120" spans="1:1">
      <c r="A120" t="s">
        <v>607</v>
      </c>
    </row>
    <row r="121" spans="1:1">
      <c r="A121" t="s">
        <v>608</v>
      </c>
    </row>
    <row r="123" spans="1:1">
      <c r="A123" t="s">
        <v>609</v>
      </c>
    </row>
    <row r="127" spans="1:1" ht="31.15">
      <c r="A127" s="122" t="s">
        <v>610</v>
      </c>
    </row>
    <row r="129" spans="1:1">
      <c r="A129" t="s">
        <v>611</v>
      </c>
    </row>
    <row r="130" spans="1:1">
      <c r="A130" s="124"/>
    </row>
    <row r="131" spans="1:1">
      <c r="A131" s="124" t="s">
        <v>612</v>
      </c>
    </row>
    <row r="132" spans="1:1">
      <c r="A132" s="124" t="s">
        <v>613</v>
      </c>
    </row>
    <row r="134" spans="1:1" ht="18">
      <c r="A134" s="126" t="s">
        <v>614</v>
      </c>
    </row>
    <row r="135" spans="1:1">
      <c r="A135" s="124"/>
    </row>
    <row r="136" spans="1:1">
      <c r="A136" s="127" t="s">
        <v>615</v>
      </c>
    </row>
    <row r="137" spans="1:1">
      <c r="A137" s="127" t="s">
        <v>616</v>
      </c>
    </row>
    <row r="138" spans="1:1">
      <c r="A138" s="127" t="s">
        <v>617</v>
      </c>
    </row>
    <row r="142" spans="1:1" ht="31.15">
      <c r="A142" s="122" t="s">
        <v>618</v>
      </c>
    </row>
    <row r="144" spans="1:1">
      <c r="A144" t="s">
        <v>619</v>
      </c>
    </row>
    <row r="146" spans="1:1" ht="18">
      <c r="A146" s="126" t="s">
        <v>620</v>
      </c>
    </row>
    <row r="148" spans="1:1">
      <c r="A148" t="s">
        <v>621</v>
      </c>
    </row>
    <row r="149" spans="1:1">
      <c r="A149" s="124"/>
    </row>
    <row r="150" spans="1:1">
      <c r="A150" s="124" t="s">
        <v>622</v>
      </c>
    </row>
    <row r="152" spans="1:1" ht="18">
      <c r="A152" s="126" t="s">
        <v>623</v>
      </c>
    </row>
    <row r="153" spans="1:1">
      <c r="A153" s="124"/>
    </row>
    <row r="154" spans="1:1">
      <c r="A154" s="124" t="s">
        <v>624</v>
      </c>
    </row>
    <row r="155" spans="1:1">
      <c r="A155" s="124" t="s">
        <v>625</v>
      </c>
    </row>
    <row r="157" spans="1:1" ht="18">
      <c r="A157" s="126" t="s">
        <v>626</v>
      </c>
    </row>
    <row r="158" spans="1:1">
      <c r="A158" s="124"/>
    </row>
    <row r="159" spans="1:1">
      <c r="A159" s="124" t="s">
        <v>627</v>
      </c>
    </row>
    <row r="163" spans="1:1" ht="31.15">
      <c r="A163" s="122" t="s">
        <v>628</v>
      </c>
    </row>
    <row r="165" spans="1:1">
      <c r="A165" t="s">
        <v>629</v>
      </c>
    </row>
    <row r="166" spans="1:1">
      <c r="A166" s="124"/>
    </row>
    <row r="167" spans="1:1">
      <c r="A167" s="124" t="s">
        <v>630</v>
      </c>
    </row>
    <row r="168" spans="1:1">
      <c r="A168" s="124" t="s">
        <v>631</v>
      </c>
    </row>
    <row r="169" spans="1:1">
      <c r="A169" s="124" t="s">
        <v>632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2"/>
  <sheetViews>
    <sheetView workbookViewId="0"/>
  </sheetViews>
  <sheetFormatPr defaultColWidth="11.42578125" defaultRowHeight="14.45"/>
  <cols>
    <col min="1" max="1" width="14.5703125" style="17" bestFit="1" customWidth="1"/>
    <col min="2" max="2" width="18.5703125" style="17" bestFit="1" customWidth="1"/>
    <col min="3" max="3" width="11.42578125" style="17"/>
    <col min="4" max="4" width="19.28515625" style="17" customWidth="1"/>
    <col min="5" max="5" width="72.7109375" style="17" customWidth="1"/>
    <col min="6" max="16384" width="11.42578125" style="17"/>
  </cols>
  <sheetData>
    <row r="1" spans="1:5">
      <c r="A1" s="17" t="s">
        <v>642</v>
      </c>
      <c r="D1" s="17" t="s">
        <v>643</v>
      </c>
    </row>
    <row r="2" spans="1:5">
      <c r="A2" s="26" t="s">
        <v>644</v>
      </c>
      <c r="B2" s="26" t="s">
        <v>645</v>
      </c>
      <c r="D2" s="28" t="s">
        <v>646</v>
      </c>
      <c r="E2" s="28" t="s">
        <v>647</v>
      </c>
    </row>
    <row r="3" spans="1:5" ht="28.9">
      <c r="A3" s="27" t="s">
        <v>648</v>
      </c>
      <c r="B3" s="30">
        <v>0.7</v>
      </c>
      <c r="D3" s="27" t="s">
        <v>649</v>
      </c>
      <c r="E3" s="18" t="s">
        <v>650</v>
      </c>
    </row>
    <row r="4" spans="1:5" ht="57.6">
      <c r="A4" s="27" t="s">
        <v>651</v>
      </c>
      <c r="B4" s="30">
        <v>0.15</v>
      </c>
      <c r="D4" s="27" t="s">
        <v>652</v>
      </c>
      <c r="E4" s="18" t="s">
        <v>653</v>
      </c>
    </row>
    <row r="5" spans="1:5" ht="43.15">
      <c r="A5" s="27" t="s">
        <v>654</v>
      </c>
      <c r="B5" s="30">
        <v>0.15</v>
      </c>
      <c r="D5" s="27" t="s">
        <v>655</v>
      </c>
      <c r="E5" s="18" t="s">
        <v>656</v>
      </c>
    </row>
    <row r="7" spans="1:5">
      <c r="A7" s="17" t="s">
        <v>657</v>
      </c>
    </row>
    <row r="8" spans="1:5">
      <c r="A8" s="26" t="s">
        <v>658</v>
      </c>
      <c r="B8" s="26" t="s">
        <v>659</v>
      </c>
      <c r="C8" s="26" t="s">
        <v>660</v>
      </c>
      <c r="D8" s="186" t="s">
        <v>661</v>
      </c>
      <c r="E8" s="186"/>
    </row>
    <row r="9" spans="1:5">
      <c r="A9" s="18" t="s">
        <v>221</v>
      </c>
      <c r="B9" s="29">
        <v>0</v>
      </c>
      <c r="C9" s="30">
        <v>0</v>
      </c>
      <c r="D9" s="185" t="s">
        <v>662</v>
      </c>
      <c r="E9" s="185"/>
    </row>
    <row r="10" spans="1:5" ht="195" customHeight="1">
      <c r="A10" s="18" t="s">
        <v>663</v>
      </c>
      <c r="B10" s="29">
        <v>1</v>
      </c>
      <c r="C10" s="30">
        <v>0</v>
      </c>
      <c r="D10" s="185" t="s">
        <v>664</v>
      </c>
      <c r="E10" s="185"/>
    </row>
    <row r="11" spans="1:5" ht="180" customHeight="1">
      <c r="A11" s="18" t="s">
        <v>665</v>
      </c>
      <c r="B11" s="29">
        <v>2</v>
      </c>
      <c r="C11" s="30">
        <v>0.3</v>
      </c>
      <c r="D11" s="185" t="s">
        <v>666</v>
      </c>
      <c r="E11" s="185"/>
    </row>
    <row r="12" spans="1:5" ht="75" customHeight="1">
      <c r="A12" s="18" t="s">
        <v>667</v>
      </c>
      <c r="B12" s="29">
        <v>3</v>
      </c>
      <c r="C12" s="30">
        <v>0.5</v>
      </c>
      <c r="D12" s="185" t="s">
        <v>668</v>
      </c>
      <c r="E12" s="185"/>
    </row>
    <row r="13" spans="1:5" ht="165" customHeight="1">
      <c r="A13" s="18" t="s">
        <v>669</v>
      </c>
      <c r="B13" s="29">
        <v>4</v>
      </c>
      <c r="C13" s="30">
        <v>0.85</v>
      </c>
      <c r="D13" s="185" t="s">
        <v>670</v>
      </c>
      <c r="E13" s="185"/>
    </row>
    <row r="14" spans="1:5" ht="180" customHeight="1">
      <c r="A14" s="18" t="s">
        <v>193</v>
      </c>
      <c r="B14" s="29">
        <v>5</v>
      </c>
      <c r="C14" s="30">
        <v>0.9</v>
      </c>
      <c r="D14" s="185" t="s">
        <v>671</v>
      </c>
      <c r="E14" s="185"/>
    </row>
    <row r="16" spans="1:5">
      <c r="A16" s="17" t="s">
        <v>672</v>
      </c>
    </row>
    <row r="17" spans="1:5">
      <c r="A17" s="26" t="s">
        <v>658</v>
      </c>
      <c r="B17" s="26" t="s">
        <v>659</v>
      </c>
      <c r="C17" s="26" t="s">
        <v>660</v>
      </c>
      <c r="D17" s="186" t="s">
        <v>661</v>
      </c>
      <c r="E17" s="186"/>
    </row>
    <row r="18" spans="1:5">
      <c r="A18" s="18" t="s">
        <v>221</v>
      </c>
      <c r="B18" s="29">
        <v>0</v>
      </c>
      <c r="C18" s="30">
        <v>0</v>
      </c>
      <c r="D18" s="185" t="s">
        <v>673</v>
      </c>
      <c r="E18" s="185"/>
    </row>
    <row r="19" spans="1:5" ht="180" customHeight="1">
      <c r="A19" s="18" t="s">
        <v>663</v>
      </c>
      <c r="B19" s="29">
        <v>1</v>
      </c>
      <c r="C19" s="30">
        <v>0</v>
      </c>
      <c r="D19" s="185" t="s">
        <v>674</v>
      </c>
      <c r="E19" s="185"/>
    </row>
    <row r="20" spans="1:5" ht="135" customHeight="1">
      <c r="A20" s="18" t="s">
        <v>665</v>
      </c>
      <c r="B20" s="29">
        <v>2</v>
      </c>
      <c r="C20" s="30">
        <v>0.3</v>
      </c>
      <c r="D20" s="185" t="s">
        <v>675</v>
      </c>
      <c r="E20" s="185"/>
    </row>
    <row r="21" spans="1:5" ht="210" customHeight="1">
      <c r="A21" s="18" t="s">
        <v>667</v>
      </c>
      <c r="B21" s="29">
        <v>3</v>
      </c>
      <c r="C21" s="30">
        <v>0.5</v>
      </c>
      <c r="D21" s="185" t="s">
        <v>676</v>
      </c>
      <c r="E21" s="185"/>
    </row>
    <row r="22" spans="1:5" ht="225" customHeight="1">
      <c r="A22" s="18" t="s">
        <v>669</v>
      </c>
      <c r="B22" s="29">
        <v>4</v>
      </c>
      <c r="C22" s="30">
        <v>0.85</v>
      </c>
      <c r="D22" s="185" t="s">
        <v>677</v>
      </c>
      <c r="E22" s="185"/>
    </row>
    <row r="23" spans="1:5" ht="225" customHeight="1">
      <c r="A23" s="18" t="s">
        <v>193</v>
      </c>
      <c r="B23" s="29">
        <v>5</v>
      </c>
      <c r="C23" s="30">
        <v>0.9</v>
      </c>
      <c r="D23" s="185" t="s">
        <v>678</v>
      </c>
      <c r="E23" s="185"/>
    </row>
    <row r="25" spans="1:5">
      <c r="A25" s="17" t="s">
        <v>679</v>
      </c>
    </row>
    <row r="26" spans="1:5">
      <c r="A26" s="26" t="s">
        <v>658</v>
      </c>
      <c r="B26" s="26" t="s">
        <v>659</v>
      </c>
      <c r="C26" s="26" t="s">
        <v>660</v>
      </c>
      <c r="D26" s="186" t="s">
        <v>661</v>
      </c>
      <c r="E26" s="186"/>
    </row>
    <row r="27" spans="1:5">
      <c r="A27" s="18" t="s">
        <v>221</v>
      </c>
      <c r="B27" s="29">
        <v>0</v>
      </c>
      <c r="C27" s="30">
        <v>0</v>
      </c>
      <c r="D27" s="185" t="s">
        <v>680</v>
      </c>
      <c r="E27" s="185"/>
    </row>
    <row r="28" spans="1:5" ht="180" customHeight="1">
      <c r="A28" s="18" t="s">
        <v>663</v>
      </c>
      <c r="B28" s="29">
        <v>1</v>
      </c>
      <c r="C28" s="30">
        <v>0</v>
      </c>
      <c r="D28" s="185" t="s">
        <v>681</v>
      </c>
      <c r="E28" s="185"/>
    </row>
    <row r="29" spans="1:5" ht="135" customHeight="1">
      <c r="A29" s="18" t="s">
        <v>665</v>
      </c>
      <c r="B29" s="29">
        <v>2</v>
      </c>
      <c r="C29" s="30">
        <v>0.3</v>
      </c>
      <c r="D29" s="185" t="s">
        <v>675</v>
      </c>
      <c r="E29" s="185"/>
    </row>
    <row r="30" spans="1:5" ht="210" customHeight="1">
      <c r="A30" s="18" t="s">
        <v>667</v>
      </c>
      <c r="B30" s="29">
        <v>3</v>
      </c>
      <c r="C30" s="30">
        <v>0.5</v>
      </c>
      <c r="D30" s="185" t="s">
        <v>682</v>
      </c>
      <c r="E30" s="185"/>
    </row>
    <row r="31" spans="1:5" ht="225" customHeight="1">
      <c r="A31" s="18" t="s">
        <v>669</v>
      </c>
      <c r="B31" s="29">
        <v>4</v>
      </c>
      <c r="C31" s="30">
        <v>0.85</v>
      </c>
      <c r="D31" s="185" t="s">
        <v>683</v>
      </c>
      <c r="E31" s="185"/>
    </row>
    <row r="32" spans="1:5" ht="225" customHeight="1">
      <c r="A32" s="18" t="s">
        <v>193</v>
      </c>
      <c r="B32" s="29">
        <v>5</v>
      </c>
      <c r="C32" s="30">
        <v>0.9</v>
      </c>
      <c r="D32" s="185" t="s">
        <v>684</v>
      </c>
      <c r="E32" s="185"/>
    </row>
  </sheetData>
  <mergeCells count="21">
    <mergeCell ref="D32:E32"/>
    <mergeCell ref="D17:E17"/>
    <mergeCell ref="D19:E19"/>
    <mergeCell ref="D20:E20"/>
    <mergeCell ref="D21:E21"/>
    <mergeCell ref="D22:E22"/>
    <mergeCell ref="D23:E23"/>
    <mergeCell ref="D26:E26"/>
    <mergeCell ref="D28:E28"/>
    <mergeCell ref="D29:E29"/>
    <mergeCell ref="D30:E30"/>
    <mergeCell ref="D31:E31"/>
    <mergeCell ref="D18:E18"/>
    <mergeCell ref="D27:E27"/>
    <mergeCell ref="D14:E14"/>
    <mergeCell ref="D8:E8"/>
    <mergeCell ref="D10:E10"/>
    <mergeCell ref="D11:E11"/>
    <mergeCell ref="D12:E12"/>
    <mergeCell ref="D13:E13"/>
    <mergeCell ref="D9:E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4"/>
  <sheetViews>
    <sheetView zoomScale="130" zoomScaleNormal="130" zoomScaleSheetLayoutView="40" workbookViewId="0">
      <selection activeCell="A13" sqref="A13"/>
    </sheetView>
  </sheetViews>
  <sheetFormatPr defaultColWidth="11.42578125" defaultRowHeight="13.9"/>
  <cols>
    <col min="1" max="1" width="27.42578125" style="2" customWidth="1"/>
    <col min="2" max="2" width="24" style="2" customWidth="1"/>
    <col min="3" max="4" width="25.28515625" style="2" customWidth="1"/>
    <col min="5" max="5" width="11.42578125" style="2"/>
    <col min="6" max="6" width="49.7109375" style="2" bestFit="1" customWidth="1"/>
    <col min="7" max="7" width="31" style="2" customWidth="1"/>
    <col min="8" max="8" width="57.42578125" style="2" bestFit="1" customWidth="1"/>
    <col min="9" max="9" width="31.5703125" style="2" bestFit="1" customWidth="1"/>
    <col min="10" max="16384" width="11.42578125" style="2"/>
  </cols>
  <sheetData>
    <row r="1" spans="1:9">
      <c r="A1" s="1" t="s">
        <v>685</v>
      </c>
      <c r="B1" s="1" t="s">
        <v>686</v>
      </c>
      <c r="D1" s="1" t="s">
        <v>687</v>
      </c>
      <c r="F1" s="1" t="s">
        <v>688</v>
      </c>
      <c r="H1" s="2" t="s">
        <v>689</v>
      </c>
      <c r="I1" s="2" t="s">
        <v>690</v>
      </c>
    </row>
    <row r="2" spans="1:9">
      <c r="A2" s="58" t="s">
        <v>691</v>
      </c>
      <c r="B2" s="59" t="s">
        <v>692</v>
      </c>
      <c r="D2" s="3" t="s">
        <v>197</v>
      </c>
      <c r="F2" s="2">
        <v>1</v>
      </c>
      <c r="H2" s="2" t="s">
        <v>693</v>
      </c>
      <c r="I2" s="2" t="s">
        <v>694</v>
      </c>
    </row>
    <row r="3" spans="1:9">
      <c r="A3" s="58" t="s">
        <v>695</v>
      </c>
      <c r="B3" s="59" t="s">
        <v>696</v>
      </c>
      <c r="D3" s="3" t="s">
        <v>697</v>
      </c>
      <c r="F3" s="2">
        <v>2</v>
      </c>
      <c r="H3" s="2" t="s">
        <v>698</v>
      </c>
      <c r="I3" s="2" t="s">
        <v>699</v>
      </c>
    </row>
    <row r="4" spans="1:9">
      <c r="A4" s="59" t="s">
        <v>700</v>
      </c>
      <c r="B4" s="59" t="s">
        <v>701</v>
      </c>
      <c r="D4" s="3" t="s">
        <v>702</v>
      </c>
      <c r="F4" s="2">
        <v>3</v>
      </c>
      <c r="H4" s="2" t="s">
        <v>703</v>
      </c>
      <c r="I4" s="2" t="s">
        <v>704</v>
      </c>
    </row>
    <row r="5" spans="1:9">
      <c r="A5" s="59" t="s">
        <v>705</v>
      </c>
      <c r="B5" s="59" t="s">
        <v>706</v>
      </c>
      <c r="D5" s="3" t="s">
        <v>707</v>
      </c>
      <c r="F5" s="2">
        <v>4</v>
      </c>
      <c r="H5" s="2" t="s">
        <v>708</v>
      </c>
      <c r="I5" s="2" t="s">
        <v>709</v>
      </c>
    </row>
    <row r="6" spans="1:9">
      <c r="A6" s="59" t="s">
        <v>710</v>
      </c>
      <c r="B6" s="59" t="s">
        <v>711</v>
      </c>
      <c r="F6" s="2">
        <v>5</v>
      </c>
      <c r="H6" s="2" t="s">
        <v>712</v>
      </c>
      <c r="I6" s="2" t="s">
        <v>713</v>
      </c>
    </row>
    <row r="7" spans="1:9">
      <c r="A7" s="59" t="s">
        <v>714</v>
      </c>
      <c r="B7" s="59" t="s">
        <v>715</v>
      </c>
      <c r="H7" s="2" t="s">
        <v>716</v>
      </c>
      <c r="I7" s="2" t="s">
        <v>717</v>
      </c>
    </row>
    <row r="8" spans="1:9">
      <c r="A8" s="59" t="s">
        <v>718</v>
      </c>
      <c r="B8" s="59" t="s">
        <v>719</v>
      </c>
      <c r="H8" s="2" t="s">
        <v>720</v>
      </c>
      <c r="I8" s="2" t="s">
        <v>721</v>
      </c>
    </row>
    <row r="9" spans="1:9">
      <c r="A9" s="59" t="s">
        <v>722</v>
      </c>
      <c r="B9" s="59" t="s">
        <v>723</v>
      </c>
      <c r="H9" s="2" t="s">
        <v>724</v>
      </c>
      <c r="I9" s="2" t="s">
        <v>725</v>
      </c>
    </row>
    <row r="10" spans="1:9">
      <c r="A10" s="59" t="s">
        <v>391</v>
      </c>
      <c r="B10" s="59" t="s">
        <v>726</v>
      </c>
      <c r="H10" s="2" t="s">
        <v>727</v>
      </c>
      <c r="I10" s="2" t="s">
        <v>728</v>
      </c>
    </row>
    <row r="11" spans="1:9">
      <c r="A11" s="59" t="s">
        <v>729</v>
      </c>
      <c r="B11" s="59" t="s">
        <v>730</v>
      </c>
      <c r="H11" s="2" t="s">
        <v>731</v>
      </c>
      <c r="I11" s="2" t="s">
        <v>732</v>
      </c>
    </row>
    <row r="12" spans="1:9">
      <c r="A12" s="59" t="s">
        <v>733</v>
      </c>
      <c r="B12" s="59" t="s">
        <v>734</v>
      </c>
      <c r="H12" s="2" t="s">
        <v>735</v>
      </c>
      <c r="I12" s="2" t="s">
        <v>736</v>
      </c>
    </row>
    <row r="13" spans="1:9">
      <c r="A13" s="59" t="s">
        <v>186</v>
      </c>
      <c r="B13" s="59" t="s">
        <v>737</v>
      </c>
      <c r="H13" s="2" t="s">
        <v>738</v>
      </c>
      <c r="I13" s="2" t="s">
        <v>739</v>
      </c>
    </row>
    <row r="14" spans="1:9">
      <c r="H14" s="2" t="s">
        <v>740</v>
      </c>
      <c r="I14" s="2" t="s">
        <v>741</v>
      </c>
    </row>
    <row r="15" spans="1:9">
      <c r="H15" s="2" t="s">
        <v>742</v>
      </c>
      <c r="I15" s="2" t="s">
        <v>743</v>
      </c>
    </row>
    <row r="16" spans="1:9">
      <c r="A16" s="2" t="s">
        <v>744</v>
      </c>
      <c r="B16" s="2" t="s">
        <v>659</v>
      </c>
      <c r="H16" s="2" t="s">
        <v>745</v>
      </c>
      <c r="I16" s="2" t="s">
        <v>746</v>
      </c>
    </row>
    <row r="17" spans="1:9">
      <c r="A17" s="2">
        <v>1</v>
      </c>
      <c r="B17" s="2" t="s">
        <v>747</v>
      </c>
      <c r="H17" s="2" t="s">
        <v>748</v>
      </c>
      <c r="I17" s="2" t="s">
        <v>749</v>
      </c>
    </row>
    <row r="18" spans="1:9">
      <c r="A18" s="2">
        <v>2</v>
      </c>
      <c r="B18" s="2" t="s">
        <v>747</v>
      </c>
      <c r="H18" s="2" t="s">
        <v>750</v>
      </c>
      <c r="I18" s="2" t="s">
        <v>751</v>
      </c>
    </row>
    <row r="19" spans="1:9">
      <c r="A19" s="2">
        <v>3</v>
      </c>
      <c r="B19" s="2" t="s">
        <v>752</v>
      </c>
      <c r="H19" s="2" t="s">
        <v>753</v>
      </c>
      <c r="I19" s="2" t="s">
        <v>754</v>
      </c>
    </row>
    <row r="20" spans="1:9">
      <c r="A20" s="2">
        <v>4</v>
      </c>
      <c r="B20" s="2" t="s">
        <v>752</v>
      </c>
      <c r="H20" s="2" t="s">
        <v>755</v>
      </c>
      <c r="I20" s="2" t="s">
        <v>756</v>
      </c>
    </row>
    <row r="21" spans="1:9">
      <c r="A21" s="2">
        <v>5</v>
      </c>
      <c r="B21" s="2" t="s">
        <v>757</v>
      </c>
      <c r="H21" s="2" t="s">
        <v>758</v>
      </c>
      <c r="I21" s="2" t="s">
        <v>726</v>
      </c>
    </row>
    <row r="22" spans="1:9">
      <c r="A22" s="2">
        <v>6</v>
      </c>
      <c r="B22" s="2" t="s">
        <v>759</v>
      </c>
      <c r="H22" s="2" t="s">
        <v>760</v>
      </c>
      <c r="I22" s="2" t="s">
        <v>761</v>
      </c>
    </row>
    <row r="23" spans="1:9">
      <c r="A23" s="2">
        <v>7</v>
      </c>
      <c r="B23" s="2" t="s">
        <v>759</v>
      </c>
      <c r="H23" s="2" t="s">
        <v>762</v>
      </c>
      <c r="I23" s="2" t="s">
        <v>763</v>
      </c>
    </row>
    <row r="24" spans="1:9">
      <c r="A24" s="2">
        <v>8</v>
      </c>
      <c r="B24" s="2" t="s">
        <v>764</v>
      </c>
    </row>
    <row r="25" spans="1:9">
      <c r="A25" s="2">
        <v>9</v>
      </c>
      <c r="B25" s="2" t="s">
        <v>764</v>
      </c>
    </row>
    <row r="28" spans="1:9">
      <c r="A28" s="19" t="s">
        <v>765</v>
      </c>
      <c r="B28" s="19"/>
      <c r="C28" s="19"/>
      <c r="D28" s="19"/>
    </row>
    <row r="29" spans="1:9">
      <c r="A29" s="20" t="s">
        <v>658</v>
      </c>
      <c r="B29" s="20" t="s">
        <v>659</v>
      </c>
      <c r="C29" s="20" t="s">
        <v>660</v>
      </c>
      <c r="D29" s="20"/>
    </row>
    <row r="30" spans="1:9">
      <c r="A30" s="21" t="s">
        <v>221</v>
      </c>
      <c r="B30" s="20">
        <v>0</v>
      </c>
      <c r="C30" s="22">
        <v>0</v>
      </c>
      <c r="D30" s="20"/>
    </row>
    <row r="31" spans="1:9">
      <c r="A31" s="21" t="s">
        <v>766</v>
      </c>
      <c r="B31" s="20">
        <v>1</v>
      </c>
      <c r="C31" s="22">
        <v>0</v>
      </c>
      <c r="D31" s="22"/>
    </row>
    <row r="32" spans="1:9">
      <c r="A32" s="21" t="s">
        <v>665</v>
      </c>
      <c r="B32" s="20">
        <v>2</v>
      </c>
      <c r="C32" s="22">
        <v>0.3</v>
      </c>
      <c r="D32" s="22"/>
    </row>
    <row r="33" spans="1:4">
      <c r="A33" s="21" t="s">
        <v>667</v>
      </c>
      <c r="B33" s="20">
        <v>3</v>
      </c>
      <c r="C33" s="22">
        <v>0.5</v>
      </c>
      <c r="D33" s="22"/>
    </row>
    <row r="34" spans="1:4">
      <c r="A34" s="21" t="s">
        <v>669</v>
      </c>
      <c r="B34" s="20">
        <v>4</v>
      </c>
      <c r="C34" s="22">
        <v>0.85</v>
      </c>
      <c r="D34" s="22"/>
    </row>
    <row r="35" spans="1:4">
      <c r="A35" s="21" t="s">
        <v>193</v>
      </c>
      <c r="B35" s="20">
        <v>5</v>
      </c>
      <c r="C35" s="22">
        <v>0.9</v>
      </c>
      <c r="D35" s="22"/>
    </row>
    <row r="37" spans="1:4">
      <c r="A37" s="2" t="s">
        <v>642</v>
      </c>
      <c r="B37" s="2" t="s">
        <v>660</v>
      </c>
    </row>
    <row r="38" spans="1:4">
      <c r="A38" s="2" t="s">
        <v>648</v>
      </c>
      <c r="B38" s="23">
        <v>0.7</v>
      </c>
    </row>
    <row r="39" spans="1:4">
      <c r="A39" s="2" t="s">
        <v>651</v>
      </c>
      <c r="B39" s="23">
        <v>0.15</v>
      </c>
    </row>
    <row r="40" spans="1:4">
      <c r="A40" s="2" t="s">
        <v>654</v>
      </c>
      <c r="B40" s="23">
        <v>0.15</v>
      </c>
    </row>
    <row r="42" spans="1:4">
      <c r="A42" s="2" t="s">
        <v>767</v>
      </c>
    </row>
    <row r="43" spans="1:4">
      <c r="A43" s="2" t="s">
        <v>218</v>
      </c>
    </row>
    <row r="44" spans="1:4">
      <c r="A44" s="2" t="s">
        <v>238</v>
      </c>
    </row>
    <row r="45" spans="1:4">
      <c r="A45" s="2" t="s">
        <v>206</v>
      </c>
    </row>
    <row r="46" spans="1:4">
      <c r="A46" s="2" t="s">
        <v>768</v>
      </c>
    </row>
    <row r="47" spans="1:4">
      <c r="A47" s="2" t="s">
        <v>769</v>
      </c>
    </row>
    <row r="48" spans="1:4">
      <c r="A48" s="2" t="s">
        <v>770</v>
      </c>
    </row>
    <row r="49" spans="1:1">
      <c r="A49" s="2" t="s">
        <v>190</v>
      </c>
    </row>
    <row r="51" spans="1:1">
      <c r="A51" s="2" t="s">
        <v>771</v>
      </c>
    </row>
    <row r="52" spans="1:1">
      <c r="A52" s="2" t="s">
        <v>772</v>
      </c>
    </row>
    <row r="53" spans="1:1">
      <c r="A53" s="2" t="s">
        <v>196</v>
      </c>
    </row>
    <row r="54" spans="1:1">
      <c r="A54" s="2" t="s">
        <v>655</v>
      </c>
    </row>
  </sheetData>
  <sheetProtection algorithmName="SHA-512" hashValue="EeSnK9xwzgo2SYRaXyZu5XN10J/GPi7UIamLIHkDBJPmBahY2G/4RffV8FUx2UMdNbDroTDB8meMQNEIOa7OzA==" saltValue="g7waBkdnPSvnzlUmf008Lw==" spinCount="100000" sheet="1" objects="1" scenarios="1"/>
  <pageMargins left="0.7" right="0.7" top="0.75" bottom="0.75" header="0.3" footer="0.3"/>
  <pageSetup paperSize="9" orientation="portrait" horizontalDpi="300" verticalDpi="300" r:id="rId1"/>
  <tableParts count="9">
    <tablePart r:id="rId2"/>
    <tablePart r:id="rId3"/>
    <tablePart r:id="rId4"/>
    <tablePart r:id="rId5"/>
    <tablePart r:id="rId6"/>
    <tablePart r:id="rId7"/>
    <tablePart r:id="rId8"/>
    <tablePart r:id="rId9"/>
    <tablePart r:id="rId10"/>
  </tableParts>
</worksheet>
</file>

<file path=xl/worksheets/sheet7.xml><?xml version="1.0" encoding="utf-8"?>
<worksheet xmlns="http://schemas.openxmlformats.org/spreadsheetml/2006/main" xmlns:r="http://schemas.openxmlformats.org/officeDocument/2006/relationships">
  <dimension ref="A1:D7"/>
  <sheetViews>
    <sheetView workbookViewId="0"/>
  </sheetViews>
  <sheetFormatPr defaultRowHeight="15"/>
  <sheetData>
    <row r="1">
      <c r="A1" t="inlineStr">
        <is>
          <t>Estado del Riesgo</t>
        </is>
      </c>
      <c r="B1" t="inlineStr">
        <is>
          <t>Estado del Control</t>
        </is>
      </c>
      <c r="C1" t="inlineStr">
        <is>
          <t>Evaluación de Efectividad</t>
        </is>
      </c>
      <c r="D1" t="inlineStr">
        <is>
          <t>Definición</t>
        </is>
      </c>
    </row>
    <row r="2">
      <c r="A2" t="inlineStr">
        <is>
          <t>Vigente</t>
        </is>
      </c>
      <c r="B2" t="inlineStr">
        <is>
          <t>Se mantiene</t>
        </is>
      </c>
      <c r="C2" t="inlineStr">
        <is>
          <t>Inexistente</t>
        </is>
      </c>
      <c r="D2" t="inlineStr">
        <is>
          <t>El control continúa ejecutándose conforme a la matriz.</t>
        </is>
      </c>
    </row>
    <row r="3">
      <c r="A3" t="inlineStr">
        <is>
          <t>Mitigado</t>
        </is>
      </c>
      <c r="B3" t="inlineStr">
        <is>
          <t>No se mantiene</t>
        </is>
      </c>
      <c r="C3" t="inlineStr">
        <is>
          <t>Inefectivo</t>
        </is>
      </c>
      <c r="D3" t="inlineStr">
        <is>
          <t>El control dejó de ejecutarse o ya no se aplica.</t>
        </is>
      </c>
    </row>
    <row r="4">
      <c r="A4" t="inlineStr">
        <is>
          <t>Nuevo</t>
        </is>
      </c>
      <c r="B4" t="inlineStr">
        <is>
          <t>Requiere actualización</t>
        </is>
      </c>
      <c r="C4" t="inlineStr">
        <is>
          <t>Razonable</t>
        </is>
      </c>
      <c r="D4" t="inlineStr">
        <is>
          <t>El control necesita ajustes para fortalecer su diseño o ejecución.</t>
        </is>
      </c>
    </row>
    <row r="5">
      <c r="A5"/>
      <c r="B5"/>
      <c r="C5" t="inlineStr">
        <is>
          <t>Parcialmente Efectivo</t>
        </is>
      </c>
      <c r="D5"/>
    </row>
    <row r="6">
      <c r="A6"/>
      <c r="B6"/>
      <c r="C6" t="inlineStr">
        <is>
          <t>Moderado</t>
        </is>
      </c>
      <c r="D6"/>
    </row>
    <row r="7">
      <c r="A7"/>
      <c r="B7"/>
      <c r="C7" t="inlineStr">
        <is>
          <t>Alta Efectividad</t>
        </is>
      </c>
      <c r="D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Claritza Ochoa Martinez</dc:creator>
  <cp:keywords/>
  <dc:description/>
  <cp:lastModifiedBy/>
  <cp:revision/>
  <dcterms:created xsi:type="dcterms:W3CDTF">2019-07-02T22:46:00Z</dcterms:created>
  <dcterms:modified xsi:type="dcterms:W3CDTF">2026-07-27T16:31:19Z</dcterms:modified>
  <cp:category/>
  <cp:contentStatus/>
</cp:coreProperties>
</file>